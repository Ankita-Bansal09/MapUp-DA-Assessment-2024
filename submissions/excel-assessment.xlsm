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a7a007367e3e59/Desktop/"/>
    </mc:Choice>
  </mc:AlternateContent>
  <xr:revisionPtr revIDLastSave="0" documentId="8_{9CF75352-9C5D-4103-B858-055CAD22AD72}" xr6:coauthVersionLast="36" xr6:coauthVersionMax="36" xr10:uidLastSave="{00000000-0000-0000-0000-000000000000}"/>
  <bookViews>
    <workbookView xWindow="0" yWindow="495" windowWidth="29400" windowHeight="1630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7" i="20"/>
  <c r="C26" i="20"/>
  <c r="C25" i="20"/>
  <c r="C28" i="20"/>
  <c r="C24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C22" i="19"/>
  <c r="C30" i="18"/>
  <c r="D30" i="18"/>
  <c r="E30" i="18"/>
  <c r="F30" i="18"/>
  <c r="E29" i="18"/>
  <c r="F29" i="18"/>
  <c r="D29" i="18"/>
  <c r="C29" i="18"/>
  <c r="F28" i="18"/>
  <c r="E28" i="18"/>
  <c r="D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Z4" i="1"/>
</calcChain>
</file>

<file path=xl/sharedStrings.xml><?xml version="1.0" encoding="utf-8"?>
<sst xmlns="http://schemas.openxmlformats.org/spreadsheetml/2006/main" count="417" uniqueCount="195">
  <si>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</si>
  <si>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</si>
  <si>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</si>
  <si>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</si>
  <si>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</si>
  <si>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</si>
  <si>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</si>
  <si>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</si>
  <si>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</si>
  <si>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</si>
  <si>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</si>
  <si>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</si>
  <si>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</si>
  <si>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</si>
  <si>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</si>
  <si>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</si>
  <si>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</si>
  <si>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</si>
  <si>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</si>
  <si>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</si>
  <si>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</si>
  <si>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</si>
  <si>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</si>
  <si>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</si>
  <si>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</si>
  <si>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</si>
  <si>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</si>
  <si>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</si>
  <si>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</si>
  <si>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</si>
  <si>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</si>
  <si>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</si>
  <si>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</si>
  <si>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</si>
  <si>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</si>
  <si>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</si>
  <si>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</si>
  <si>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</si>
  <si>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</si>
  <si>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</si>
  <si>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</si>
  <si>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</si>
  <si>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</si>
  <si>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</si>
  <si>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</si>
  <si>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</si>
  <si>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</si>
  <si>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</si>
  <si>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</si>
  <si>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</si>
  <si>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</si>
  <si>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</si>
  <si>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</si>
  <si>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</si>
  <si>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</si>
  <si>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</si>
  <si>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</si>
  <si>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</si>
  <si>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</si>
  <si>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</si>
  <si>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</si>
  <si>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</si>
  <si>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</si>
  <si>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</si>
  <si>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</si>
  <si>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</si>
  <si>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</si>
  <si>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</si>
  <si>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</si>
  <si>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</si>
  <si>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</si>
  <si>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</si>
  <si>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</si>
  <si>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</si>
  <si>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</si>
  <si>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</si>
  <si>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</si>
  <si>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</si>
  <si>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</si>
  <si>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</si>
  <si>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</si>
  <si>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</si>
  <si>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</si>
  <si>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</si>
  <si>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</si>
  <si>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</si>
  <si>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</si>
  <si>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</si>
  <si>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</si>
  <si>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</si>
  <si>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</si>
  <si>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</si>
  <si>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</si>
  <si>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</si>
  <si>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</si>
  <si>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</si>
  <si>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</si>
  <si>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</si>
  <si>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</si>
  <si>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</si>
  <si>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</si>
  <si>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</si>
  <si>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</si>
  <si>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</si>
  <si>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</si>
  <si>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</si>
  <si>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</si>
  <si>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</si>
  <si>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</si>
  <si>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</si>
  <si>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</si>
  <si>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</si>
  <si>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</si>
  <si>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</si>
  <si>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</si>
  <si>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</si>
  <si>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</si>
  <si>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</si>
  <si>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</si>
  <si>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</si>
  <si>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</si>
  <si>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</si>
  <si>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</si>
  <si>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</si>
  <si>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</si>
  <si>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</si>
  <si>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</si>
  <si>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</si>
  <si>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</si>
  <si>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</si>
  <si>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</si>
  <si>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</si>
  <si>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</si>
  <si>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</si>
  <si>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</si>
  <si>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</si>
  <si>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</si>
  <si>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</si>
  <si>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</si>
  <si>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</si>
  <si>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</si>
  <si>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</si>
  <si>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</si>
  <si>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</si>
  <si>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</si>
  <si>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</si>
  <si>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</si>
  <si>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</si>
  <si>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</si>
  <si>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</si>
  <si>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</si>
  <si>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</si>
  <si>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</si>
  <si>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</si>
  <si>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</si>
  <si>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</si>
  <si>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</si>
  <si>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</si>
  <si>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</si>
  <si>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</si>
  <si>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</si>
  <si>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</si>
  <si>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</si>
  <si>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</si>
  <si>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</si>
  <si>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</si>
  <si>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</si>
  <si>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</si>
  <si>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</si>
  <si>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</si>
  <si>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</si>
  <si>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</si>
  <si>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</si>
  <si>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</si>
  <si>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</si>
  <si>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</si>
  <si>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</si>
  <si>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</si>
  <si>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SUM OF Col H </t>
  </si>
  <si>
    <t>SUMIF(H2:H40,"&gt;20")</t>
  </si>
  <si>
    <t xml:space="preserve">Text To Columns </t>
  </si>
  <si>
    <t>The values will now be split into separate cells.</t>
  </si>
  <si>
    <t>Select the cell(s) containing the data you want to split.</t>
  </si>
  <si>
    <t>Click on Text to Columns.</t>
  </si>
  <si>
    <t>Choose Delimited if the data is separated by a specific character (like a comma, space, or tab), then click Next.</t>
  </si>
  <si>
    <t>Click Next, and then Finish.</t>
  </si>
  <si>
    <t>Select the delimiter that matches how your data is separated (e.g., comma, space, semicolon). You can also specify a custom delimiter.(in our case it was - sign)</t>
  </si>
  <si>
    <t xml:space="preserve">It is showing right answer in the function box ie 600  but here in cell, it is showing wrong value of 20. </t>
  </si>
  <si>
    <t>IFERROR- This part of the formula checks if each value in the "Sales" column of Table_A is an error (#N/A). If it is, it substitutes the value with 20. Otherwise, it keeps the original value.</t>
  </si>
  <si>
    <t xml:space="preserve">SUM and IFERROR function </t>
  </si>
  <si>
    <t>SUM(...): This function then adds up all the modified values.</t>
  </si>
  <si>
    <t>Name_1</t>
  </si>
  <si>
    <t>Name_2</t>
  </si>
  <si>
    <t xml:space="preserve">Vlookup function </t>
  </si>
  <si>
    <t xml:space="preserve">Used to find respective names from table A and then used to find values from table B across names derived from table B.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</si>
</sst>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8" fillId="0" borderId="0" xfId="0" applyFont="1"/>
    <xf numFmtId="0" fontId="15" fillId="0" borderId="0" xfId="0" applyFont="1" applyAlignment="1"/>
    <xf numFmtId="0" fontId="3" fillId="0" borderId="0" xfId="0" applyFont="1" applyAlignment="1"/>
    <xf numFmtId="0" fontId="18" fillId="0" borderId="0" xfId="0" applyFont="1" applyAlignment="1"/>
    <xf numFmtId="0" fontId="19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7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7D711C-A8AB-41B5-B710-52D74B79D04B}" name="Table1" displayName="Table1" ref="A1:X40" totalsRowShown="0" headerRowDxfId="4" dataDxfId="5">
  <autoFilter ref="A1:X40" xr:uid="{3D080478-D6E1-4FE6-A297-29605B32BE18}"/>
  <sortState ref="A2:X40">
    <sortCondition ref="A1:A40"/>
  </sortState>
  <tableColumns count="24">
    <tableColumn id="1" xr3:uid="{13E7D71E-634C-4CC0-BDB7-9B4A4CCC7A8A}" name="name" dataDxfId="29"/>
    <tableColumn id="2" xr3:uid="{7153BE92-86CE-4748-8835-E19BC359E64E}" name="ID" dataDxfId="28"/>
    <tableColumn id="3" xr3:uid="{76199FDF-D1A5-4C44-81A2-5064A5D866CE}" name="start_day" dataDxfId="27"/>
    <tableColumn id="4" xr3:uid="{DC3ECE41-1223-432E-8F6C-4AEC4EFEF25C}" name="start_time" dataDxfId="26"/>
    <tableColumn id="5" xr3:uid="{7A339694-9992-4A69-98D0-78C524B1A4B5}" name="end_day" dataDxfId="25"/>
    <tableColumn id="6" xr3:uid="{B00575C5-9DEF-496B-9ED0-29721734953A}" name="end_time" dataDxfId="24"/>
    <tableColumn id="7" xr3:uid="{A3E83A41-EE05-4DCC-99B6-5DD7F5294822}" name="car1" dataDxfId="23"/>
    <tableColumn id="8" xr3:uid="{BE1D2618-3D7C-4431-BDB4-45FC20B9527F}" name="car2" dataDxfId="22"/>
    <tableColumn id="9" xr3:uid="{710C8EEC-0EA5-45E8-A65C-09C1A10BE5A5}" name="car3" dataDxfId="21"/>
    <tableColumn id="10" xr3:uid="{98269AC8-A5FF-43DF-A635-7DD9BE329D48}" name="moto1" dataDxfId="20"/>
    <tableColumn id="11" xr3:uid="{B4E57231-1651-4349-86F7-C5F0193A207B}" name="moto2" dataDxfId="19"/>
    <tableColumn id="12" xr3:uid="{F338171F-5858-45FF-96DE-DE10F96F388C}" name="moto3" dataDxfId="18"/>
    <tableColumn id="13" xr3:uid="{303B0084-5821-4CEF-A68A-5FAD47B7C9D0}" name="bus1" dataDxfId="17"/>
    <tableColumn id="14" xr3:uid="{A31B0406-8969-43BD-985B-9A3EA4B56727}" name="bus2" dataDxfId="16"/>
    <tableColumn id="15" xr3:uid="{F493E8F8-4C44-4096-84D9-0B3B00CD50A3}" name="bus3" dataDxfId="15"/>
    <tableColumn id="16" xr3:uid="{9EC49FD1-2D5F-4C64-835E-E8400F659A36}" name="rv1" dataDxfId="14"/>
    <tableColumn id="17" xr3:uid="{143375A9-7524-419E-A262-E7DEB266A86D}" name="rv2" dataDxfId="13"/>
    <tableColumn id="18" xr3:uid="{EF6D464F-C88A-4A5F-B023-4EE16E5C5118}" name="rv3" dataDxfId="12"/>
    <tableColumn id="19" xr3:uid="{8A8A0B5A-E8B2-44AC-AFAD-07AE6D94ABFA}" name="truck1" dataDxfId="11"/>
    <tableColumn id="20" xr3:uid="{D04FB59E-58E9-4F80-AE68-33107FDECE99}" name="truck2" dataDxfId="10"/>
    <tableColumn id="21" xr3:uid="{D6FA8678-C147-44FA-BADA-3AF6512FBB9A}" name="taxi1" dataDxfId="9"/>
    <tableColumn id="22" xr3:uid="{18BD6A0E-88C1-4BD9-8EDA-75096838727A}" name="taxi2" dataDxfId="8"/>
    <tableColumn id="23" xr3:uid="{D5388AC2-7D08-4544-91E6-4E844C95B5F9}" name="taxi3" dataDxfId="7"/>
    <tableColumn id="24" xr3:uid="{ED5A60F8-EC6A-4585-BC71-5C9099A3FB5D}" name="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1" sqref="A21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topLeftCell="I1" zoomScaleNormal="100" workbookViewId="0">
      <pane ySplit="1" topLeftCell="A2" activePane="bottomLeft" state="frozen"/>
      <selection pane="bottomLeft" activeCell="N36" sqref="N36"/>
    </sheetView>
  </sheetViews>
  <sheetFormatPr defaultColWidth="9" defaultRowHeight="15" x14ac:dyDescent="0.25"/>
  <cols>
    <col min="1" max="1" width="25.33203125" style="1" bestFit="1" customWidth="1"/>
    <col min="2" max="2" width="11.5" style="1" customWidth="1"/>
    <col min="3" max="3" width="14.83203125" style="1" customWidth="1"/>
    <col min="4" max="4" width="14.83203125" style="24" customWidth="1"/>
    <col min="5" max="5" width="12.5" style="1" customWidth="1"/>
    <col min="6" max="6" width="16" style="24" customWidth="1"/>
    <col min="7" max="7" width="12.6640625" style="1" customWidth="1"/>
    <col min="8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25" width="9" style="1"/>
    <col min="26" max="26" width="16" style="1" customWidth="1"/>
    <col min="27" max="16384" width="9" style="1"/>
  </cols>
  <sheetData>
    <row r="1" spans="1:26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6" x14ac:dyDescent="0.25">
      <c r="A2" s="1" t="s">
        <v>7</v>
      </c>
      <c r="B2" s="1">
        <v>20004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3.6</v>
      </c>
      <c r="H2" s="1">
        <v>5.4</v>
      </c>
      <c r="I2" s="1">
        <v>5.8</v>
      </c>
      <c r="J2" s="1">
        <v>-1</v>
      </c>
      <c r="K2" s="1">
        <v>-1</v>
      </c>
      <c r="L2" s="1">
        <v>-1</v>
      </c>
      <c r="M2" s="1">
        <v>7.6</v>
      </c>
      <c r="N2" s="1">
        <v>11.1</v>
      </c>
      <c r="O2" s="1">
        <v>12.2</v>
      </c>
      <c r="P2" s="1">
        <v>3.6</v>
      </c>
      <c r="Q2" s="1">
        <v>5.4</v>
      </c>
      <c r="R2" s="1">
        <v>5.8</v>
      </c>
      <c r="S2" s="1">
        <v>11.1</v>
      </c>
      <c r="T2" s="1">
        <v>12.2</v>
      </c>
      <c r="U2" s="1">
        <v>5.4</v>
      </c>
      <c r="V2" s="1">
        <v>5.8</v>
      </c>
      <c r="W2" s="1">
        <v>5.8</v>
      </c>
      <c r="X2" s="46">
        <v>45055</v>
      </c>
      <c r="Z2" s="1" t="s">
        <v>178</v>
      </c>
    </row>
    <row r="3" spans="1:26" x14ac:dyDescent="0.25">
      <c r="A3" s="1" t="s">
        <v>13</v>
      </c>
      <c r="B3" s="1">
        <v>20016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16.100000000000001</v>
      </c>
      <c r="H3" s="1">
        <v>24.1</v>
      </c>
      <c r="I3" s="1">
        <v>29.1</v>
      </c>
      <c r="J3" s="1">
        <v>-1</v>
      </c>
      <c r="K3" s="1">
        <v>-1</v>
      </c>
      <c r="L3" s="1">
        <v>-1</v>
      </c>
      <c r="M3" s="1">
        <v>32.799999999999997</v>
      </c>
      <c r="N3" s="1">
        <v>49</v>
      </c>
      <c r="O3" s="1">
        <v>59</v>
      </c>
      <c r="P3" s="1">
        <v>16.100000000000001</v>
      </c>
      <c r="Q3" s="1">
        <v>24.1</v>
      </c>
      <c r="R3" s="1">
        <v>29.1</v>
      </c>
      <c r="S3" s="1">
        <v>49</v>
      </c>
      <c r="T3" s="1">
        <v>59</v>
      </c>
      <c r="U3" s="1">
        <v>24.1</v>
      </c>
      <c r="V3" s="1">
        <v>29.1</v>
      </c>
      <c r="W3" s="1">
        <v>29.1</v>
      </c>
      <c r="X3" s="46">
        <v>45092</v>
      </c>
    </row>
    <row r="4" spans="1:26" x14ac:dyDescent="0.25">
      <c r="A4" s="1" t="s">
        <v>30</v>
      </c>
      <c r="B4" s="1">
        <v>20054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43.3</v>
      </c>
      <c r="H4" s="1">
        <v>63.6</v>
      </c>
      <c r="I4" s="1">
        <v>77.2</v>
      </c>
      <c r="J4" s="1">
        <v>-1</v>
      </c>
      <c r="K4" s="1">
        <v>-1</v>
      </c>
      <c r="L4" s="1">
        <v>-1</v>
      </c>
      <c r="M4" s="1">
        <v>87.6</v>
      </c>
      <c r="N4" s="1">
        <v>128.6</v>
      </c>
      <c r="O4" s="1">
        <v>156.4</v>
      </c>
      <c r="P4" s="1">
        <v>43.3</v>
      </c>
      <c r="Q4" s="1">
        <v>63.6</v>
      </c>
      <c r="R4" s="1">
        <v>77.2</v>
      </c>
      <c r="S4" s="1">
        <v>128.6</v>
      </c>
      <c r="T4" s="1">
        <v>156.4</v>
      </c>
      <c r="U4" s="1">
        <v>63.6</v>
      </c>
      <c r="V4" s="1">
        <v>77.2</v>
      </c>
      <c r="W4" s="1">
        <v>77.2</v>
      </c>
      <c r="X4" s="46">
        <v>45153</v>
      </c>
      <c r="Z4" s="1">
        <f>SUMIF(H2:H40,"&gt;20")</f>
        <v>1473</v>
      </c>
    </row>
    <row r="5" spans="1:26" x14ac:dyDescent="0.25">
      <c r="A5" s="1" t="s">
        <v>17</v>
      </c>
      <c r="B5" s="1">
        <v>20024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23.5</v>
      </c>
      <c r="H5" s="1">
        <v>34.700000000000003</v>
      </c>
      <c r="I5" s="1">
        <v>42.7</v>
      </c>
      <c r="J5" s="1">
        <v>-1</v>
      </c>
      <c r="K5" s="1">
        <v>-1</v>
      </c>
      <c r="L5" s="1">
        <v>-1</v>
      </c>
      <c r="M5" s="1">
        <v>47.7</v>
      </c>
      <c r="N5" s="1">
        <v>70.8</v>
      </c>
      <c r="O5" s="1">
        <v>86.6</v>
      </c>
      <c r="P5" s="1">
        <v>23.5</v>
      </c>
      <c r="Q5" s="1">
        <v>34.700000000000003</v>
      </c>
      <c r="R5" s="1">
        <v>42.7</v>
      </c>
      <c r="S5" s="1">
        <v>70.8</v>
      </c>
      <c r="T5" s="1">
        <v>86.6</v>
      </c>
      <c r="U5" s="1">
        <v>34.700000000000003</v>
      </c>
      <c r="V5" s="1">
        <v>42.7</v>
      </c>
      <c r="W5" s="1">
        <v>42.7</v>
      </c>
      <c r="X5" s="46">
        <v>45095</v>
      </c>
    </row>
    <row r="6" spans="1:26" x14ac:dyDescent="0.25">
      <c r="A6" s="1" t="s">
        <v>14</v>
      </c>
      <c r="B6" s="1">
        <v>20018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18.399999999999999</v>
      </c>
      <c r="H6" s="1">
        <v>27.5</v>
      </c>
      <c r="I6" s="1">
        <v>33.799999999999997</v>
      </c>
      <c r="J6" s="1">
        <v>-1</v>
      </c>
      <c r="K6" s="1">
        <v>-1</v>
      </c>
      <c r="L6" s="1">
        <v>-1</v>
      </c>
      <c r="M6" s="1">
        <v>37.200000000000003</v>
      </c>
      <c r="N6" s="1">
        <v>55.6</v>
      </c>
      <c r="O6" s="1">
        <v>67.900000000000006</v>
      </c>
      <c r="P6" s="1">
        <v>18.399999999999999</v>
      </c>
      <c r="Q6" s="1">
        <v>27.5</v>
      </c>
      <c r="R6" s="1">
        <v>33.799999999999997</v>
      </c>
      <c r="S6" s="1">
        <v>55.6</v>
      </c>
      <c r="T6" s="1">
        <v>67.900000000000006</v>
      </c>
      <c r="U6" s="1">
        <v>27.5</v>
      </c>
      <c r="V6" s="1">
        <v>33.799999999999997</v>
      </c>
      <c r="W6" s="1">
        <v>33.799999999999997</v>
      </c>
      <c r="X6" s="46">
        <v>45104</v>
      </c>
    </row>
    <row r="7" spans="1:26" x14ac:dyDescent="0.25">
      <c r="A7" s="1" t="s">
        <v>4</v>
      </c>
      <c r="B7" s="1">
        <v>20002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2.7</v>
      </c>
      <c r="H7" s="1">
        <v>3.6</v>
      </c>
      <c r="I7" s="1">
        <v>4.2</v>
      </c>
      <c r="J7" s="1">
        <v>-1</v>
      </c>
      <c r="K7" s="1">
        <v>-1</v>
      </c>
      <c r="L7" s="1">
        <v>-1</v>
      </c>
      <c r="M7" s="1">
        <v>5.3</v>
      </c>
      <c r="N7" s="1">
        <v>7.6</v>
      </c>
      <c r="O7" s="1">
        <v>8.9</v>
      </c>
      <c r="P7" s="1">
        <v>2.7</v>
      </c>
      <c r="Q7" s="1">
        <v>3.6</v>
      </c>
      <c r="R7" s="1">
        <v>4.2</v>
      </c>
      <c r="S7" s="1">
        <v>7.6</v>
      </c>
      <c r="T7" s="1">
        <v>8.9</v>
      </c>
      <c r="U7" s="1">
        <v>3.6</v>
      </c>
      <c r="V7" s="1">
        <v>4.2</v>
      </c>
      <c r="W7" s="1">
        <v>4.2</v>
      </c>
      <c r="X7" s="46">
        <v>45048</v>
      </c>
    </row>
    <row r="8" spans="1:26" x14ac:dyDescent="0.25">
      <c r="A8" s="1" t="s">
        <v>18</v>
      </c>
      <c r="B8" s="1">
        <v>20026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26.8</v>
      </c>
      <c r="H8" s="1">
        <v>39.299999999999997</v>
      </c>
      <c r="I8" s="1">
        <v>47.9</v>
      </c>
      <c r="J8" s="1">
        <v>-1</v>
      </c>
      <c r="K8" s="1">
        <v>-1</v>
      </c>
      <c r="L8" s="1">
        <v>-1</v>
      </c>
      <c r="M8" s="1">
        <v>54.6</v>
      </c>
      <c r="N8" s="1">
        <v>79.599999999999994</v>
      </c>
      <c r="O8" s="1">
        <v>96.8</v>
      </c>
      <c r="P8" s="1">
        <v>26.8</v>
      </c>
      <c r="Q8" s="1">
        <v>39.299999999999997</v>
      </c>
      <c r="R8" s="1">
        <v>47.9</v>
      </c>
      <c r="S8" s="1">
        <v>79.599999999999994</v>
      </c>
      <c r="T8" s="1">
        <v>96.8</v>
      </c>
      <c r="U8" s="1">
        <v>39.299999999999997</v>
      </c>
      <c r="V8" s="1">
        <v>47.9</v>
      </c>
      <c r="W8" s="1">
        <v>47.9</v>
      </c>
      <c r="X8" s="46">
        <v>45113</v>
      </c>
    </row>
    <row r="9" spans="1:26" x14ac:dyDescent="0.25">
      <c r="A9" s="1" t="s">
        <v>11</v>
      </c>
      <c r="B9" s="1">
        <v>20012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46">
        <v>45052</v>
      </c>
    </row>
    <row r="10" spans="1:26" x14ac:dyDescent="0.25">
      <c r="A10" s="1" t="s">
        <v>25</v>
      </c>
      <c r="B10" s="1">
        <v>20040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36.5</v>
      </c>
      <c r="H10" s="1">
        <v>54.6</v>
      </c>
      <c r="I10" s="1">
        <v>65.900000000000006</v>
      </c>
      <c r="J10" s="1">
        <v>-1</v>
      </c>
      <c r="K10" s="1">
        <v>-1</v>
      </c>
      <c r="L10" s="1">
        <v>-1</v>
      </c>
      <c r="M10" s="1">
        <v>73.900000000000006</v>
      </c>
      <c r="N10" s="1">
        <v>110.3</v>
      </c>
      <c r="O10" s="1">
        <v>133.4</v>
      </c>
      <c r="P10" s="1">
        <v>36.5</v>
      </c>
      <c r="Q10" s="1">
        <v>54.6</v>
      </c>
      <c r="R10" s="1">
        <v>65.900000000000006</v>
      </c>
      <c r="S10" s="1">
        <v>110.3</v>
      </c>
      <c r="T10" s="1">
        <v>133.4</v>
      </c>
      <c r="U10" s="1">
        <v>54.6</v>
      </c>
      <c r="V10" s="1">
        <v>65.900000000000006</v>
      </c>
      <c r="W10" s="1">
        <v>65.900000000000006</v>
      </c>
      <c r="X10" s="46">
        <v>45075</v>
      </c>
    </row>
    <row r="11" spans="1:26" x14ac:dyDescent="0.25">
      <c r="A11" s="1" t="s">
        <v>15</v>
      </c>
      <c r="B11" s="1">
        <v>20020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46">
        <v>45116</v>
      </c>
    </row>
    <row r="12" spans="1:26" x14ac:dyDescent="0.25">
      <c r="A12" s="1" t="s">
        <v>28</v>
      </c>
      <c r="B12" s="1">
        <v>20048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45142</v>
      </c>
    </row>
    <row r="13" spans="1:26" x14ac:dyDescent="0.25">
      <c r="A13" s="1" t="s">
        <v>19</v>
      </c>
      <c r="B13" s="1">
        <v>20028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28</v>
      </c>
      <c r="H13" s="1">
        <v>41</v>
      </c>
      <c r="I13" s="1">
        <v>50.1</v>
      </c>
      <c r="J13" s="1">
        <v>-1</v>
      </c>
      <c r="K13" s="1">
        <v>-1</v>
      </c>
      <c r="L13" s="1">
        <v>-1</v>
      </c>
      <c r="M13" s="1">
        <v>56.7</v>
      </c>
      <c r="N13" s="1">
        <v>83.2</v>
      </c>
      <c r="O13" s="1">
        <v>101.3</v>
      </c>
      <c r="P13" s="1">
        <v>28</v>
      </c>
      <c r="Q13" s="1">
        <v>41</v>
      </c>
      <c r="R13" s="1">
        <v>50.1</v>
      </c>
      <c r="S13" s="1">
        <v>83.2</v>
      </c>
      <c r="T13" s="1">
        <v>101.3</v>
      </c>
      <c r="U13" s="1">
        <v>41</v>
      </c>
      <c r="V13" s="1">
        <v>50.1</v>
      </c>
      <c r="W13" s="1">
        <v>50.1</v>
      </c>
      <c r="X13" s="46">
        <v>45063</v>
      </c>
    </row>
    <row r="14" spans="1:26" x14ac:dyDescent="0.25">
      <c r="A14" s="1" t="s">
        <v>21</v>
      </c>
      <c r="B14" s="1">
        <v>20032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29.1</v>
      </c>
      <c r="H14" s="1">
        <v>43.3</v>
      </c>
      <c r="I14" s="1">
        <v>53.7</v>
      </c>
      <c r="J14" s="1">
        <v>-1</v>
      </c>
      <c r="K14" s="1">
        <v>-1</v>
      </c>
      <c r="L14" s="1">
        <v>-1</v>
      </c>
      <c r="M14" s="1">
        <v>59</v>
      </c>
      <c r="N14" s="1">
        <v>87.6</v>
      </c>
      <c r="O14" s="1">
        <v>108.8</v>
      </c>
      <c r="P14" s="1">
        <v>29.1</v>
      </c>
      <c r="Q14" s="1">
        <v>43.3</v>
      </c>
      <c r="R14" s="1">
        <v>53.7</v>
      </c>
      <c r="S14" s="1">
        <v>87.6</v>
      </c>
      <c r="T14" s="1">
        <v>108.8</v>
      </c>
      <c r="U14" s="1">
        <v>43.3</v>
      </c>
      <c r="V14" s="1">
        <v>53.7</v>
      </c>
      <c r="W14" s="1">
        <v>53.7</v>
      </c>
      <c r="X14" s="46">
        <v>45085</v>
      </c>
    </row>
    <row r="15" spans="1:26" x14ac:dyDescent="0.25">
      <c r="A15" s="1" t="s">
        <v>20</v>
      </c>
      <c r="B15" s="1">
        <v>20030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28.5</v>
      </c>
      <c r="H15" s="1">
        <v>42.3</v>
      </c>
      <c r="I15" s="1">
        <v>52.3</v>
      </c>
      <c r="J15" s="1">
        <v>-1</v>
      </c>
      <c r="K15" s="1">
        <v>-1</v>
      </c>
      <c r="L15" s="1">
        <v>-1</v>
      </c>
      <c r="M15" s="1">
        <v>58.3</v>
      </c>
      <c r="N15" s="1">
        <v>85.4</v>
      </c>
      <c r="O15" s="1">
        <v>106.1</v>
      </c>
      <c r="P15" s="1">
        <v>28.5</v>
      </c>
      <c r="Q15" s="1">
        <v>42.3</v>
      </c>
      <c r="R15" s="1">
        <v>52.3</v>
      </c>
      <c r="S15" s="1">
        <v>85.4</v>
      </c>
      <c r="T15" s="1">
        <v>106.1</v>
      </c>
      <c r="U15" s="1">
        <v>42.3</v>
      </c>
      <c r="V15" s="1">
        <v>52.3</v>
      </c>
      <c r="W15" s="1">
        <v>52.3</v>
      </c>
      <c r="X15" s="46">
        <v>45071</v>
      </c>
    </row>
    <row r="16" spans="1:26" x14ac:dyDescent="0.25">
      <c r="A16" s="1" t="s">
        <v>9</v>
      </c>
      <c r="B16" s="1">
        <v>20008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6.6</v>
      </c>
      <c r="H16" s="1">
        <v>8.8000000000000007</v>
      </c>
      <c r="I16" s="1">
        <v>11</v>
      </c>
      <c r="J16" s="1">
        <v>-1</v>
      </c>
      <c r="K16" s="1">
        <v>-1</v>
      </c>
      <c r="L16" s="1">
        <v>-1</v>
      </c>
      <c r="M16" s="1">
        <v>13.3</v>
      </c>
      <c r="N16" s="1">
        <v>18</v>
      </c>
      <c r="O16" s="1">
        <v>22.5</v>
      </c>
      <c r="P16" s="1">
        <v>6.6</v>
      </c>
      <c r="Q16" s="1">
        <v>8.8000000000000007</v>
      </c>
      <c r="R16" s="1">
        <v>11</v>
      </c>
      <c r="S16" s="1">
        <v>18</v>
      </c>
      <c r="T16" s="1">
        <v>22.5</v>
      </c>
      <c r="U16" s="1">
        <v>8.8000000000000007</v>
      </c>
      <c r="V16" s="1">
        <v>11</v>
      </c>
      <c r="W16" s="1">
        <v>11</v>
      </c>
      <c r="X16" s="46">
        <v>45076</v>
      </c>
    </row>
    <row r="17" spans="1:24" x14ac:dyDescent="0.25">
      <c r="A17" s="1" t="s">
        <v>33</v>
      </c>
      <c r="B17" s="1">
        <v>21002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41.5</v>
      </c>
      <c r="H17" s="1">
        <v>61.4</v>
      </c>
      <c r="I17" s="1">
        <v>75</v>
      </c>
      <c r="J17" s="1">
        <v>-1</v>
      </c>
      <c r="K17" s="1">
        <v>-1</v>
      </c>
      <c r="L17" s="1">
        <v>-1</v>
      </c>
      <c r="M17" s="1">
        <v>84.6</v>
      </c>
      <c r="N17" s="1">
        <v>124.4</v>
      </c>
      <c r="O17" s="1">
        <v>151.5</v>
      </c>
      <c r="P17" s="1">
        <v>41.5</v>
      </c>
      <c r="Q17" s="1">
        <v>61.4</v>
      </c>
      <c r="R17" s="1">
        <v>75</v>
      </c>
      <c r="S17" s="1">
        <v>124.4</v>
      </c>
      <c r="T17" s="1">
        <v>151.5</v>
      </c>
      <c r="U17" s="1">
        <v>61.4</v>
      </c>
      <c r="V17" s="1">
        <v>75</v>
      </c>
      <c r="W17" s="1">
        <v>75</v>
      </c>
      <c r="X17" s="46">
        <v>45166</v>
      </c>
    </row>
    <row r="18" spans="1:24" x14ac:dyDescent="0.25">
      <c r="A18" s="1" t="s">
        <v>22</v>
      </c>
      <c r="B18" s="1">
        <v>20034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30.7</v>
      </c>
      <c r="H18" s="1">
        <v>45.5</v>
      </c>
      <c r="I18" s="1">
        <v>57</v>
      </c>
      <c r="J18" s="1">
        <v>-1</v>
      </c>
      <c r="K18" s="1">
        <v>-1</v>
      </c>
      <c r="L18" s="1">
        <v>-1</v>
      </c>
      <c r="M18" s="1">
        <v>62.5</v>
      </c>
      <c r="N18" s="1">
        <v>92.1</v>
      </c>
      <c r="O18" s="1">
        <v>115.1</v>
      </c>
      <c r="P18" s="1">
        <v>30.7</v>
      </c>
      <c r="Q18" s="1">
        <v>45.5</v>
      </c>
      <c r="R18" s="1">
        <v>57</v>
      </c>
      <c r="S18" s="1">
        <v>92.1</v>
      </c>
      <c r="T18" s="1">
        <v>115.1</v>
      </c>
      <c r="U18" s="1">
        <v>45.5</v>
      </c>
      <c r="V18" s="1">
        <v>57</v>
      </c>
      <c r="W18" s="1">
        <v>57</v>
      </c>
      <c r="X18" s="46">
        <v>45099</v>
      </c>
    </row>
    <row r="19" spans="1:24" x14ac:dyDescent="0.25">
      <c r="A19" s="1" t="s">
        <v>35</v>
      </c>
      <c r="B19" s="1">
        <v>21006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44.5</v>
      </c>
      <c r="H19" s="1">
        <v>65.900000000000006</v>
      </c>
      <c r="I19" s="1">
        <v>81.8</v>
      </c>
      <c r="J19" s="1">
        <v>-1</v>
      </c>
      <c r="K19" s="1">
        <v>-1</v>
      </c>
      <c r="L19" s="1">
        <v>-1</v>
      </c>
      <c r="M19" s="1">
        <v>89.9</v>
      </c>
      <c r="N19" s="1">
        <v>133.4</v>
      </c>
      <c r="O19" s="1">
        <v>165.3</v>
      </c>
      <c r="P19" s="1">
        <v>44.5</v>
      </c>
      <c r="Q19" s="1">
        <v>65.900000000000006</v>
      </c>
      <c r="R19" s="1">
        <v>81.8</v>
      </c>
      <c r="S19" s="1">
        <v>133.4</v>
      </c>
      <c r="T19" s="1">
        <v>165.3</v>
      </c>
      <c r="U19" s="1">
        <v>65.900000000000006</v>
      </c>
      <c r="V19" s="1">
        <v>81.8</v>
      </c>
      <c r="W19" s="1">
        <v>81.8</v>
      </c>
      <c r="X19" s="46">
        <v>45160</v>
      </c>
    </row>
    <row r="20" spans="1:24" x14ac:dyDescent="0.25">
      <c r="A20" s="1" t="s">
        <v>36</v>
      </c>
      <c r="B20" s="1">
        <v>21008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47.3</v>
      </c>
      <c r="H20" s="1">
        <v>70.400000000000006</v>
      </c>
      <c r="I20" s="1">
        <v>86.4</v>
      </c>
      <c r="J20" s="1">
        <v>-1</v>
      </c>
      <c r="K20" s="1">
        <v>-1</v>
      </c>
      <c r="L20" s="1">
        <v>-1</v>
      </c>
      <c r="M20" s="1">
        <v>95.6</v>
      </c>
      <c r="N20" s="1">
        <v>142.5</v>
      </c>
      <c r="O20" s="1">
        <v>174.2</v>
      </c>
      <c r="P20" s="1">
        <v>47.3</v>
      </c>
      <c r="Q20" s="1">
        <v>70.400000000000006</v>
      </c>
      <c r="R20" s="1">
        <v>86.4</v>
      </c>
      <c r="S20" s="1">
        <v>142.5</v>
      </c>
      <c r="T20" s="1">
        <v>174.2</v>
      </c>
      <c r="U20" s="1">
        <v>70.400000000000006</v>
      </c>
      <c r="V20" s="1">
        <v>86.4</v>
      </c>
      <c r="W20" s="1">
        <v>86.4</v>
      </c>
      <c r="X20" s="46">
        <v>45179</v>
      </c>
    </row>
    <row r="21" spans="1:24" x14ac:dyDescent="0.25">
      <c r="A21" s="1" t="s">
        <v>32</v>
      </c>
      <c r="B21" s="1">
        <v>21000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  <c r="X21" s="46">
        <v>45143</v>
      </c>
    </row>
    <row r="22" spans="1:24" x14ac:dyDescent="0.25">
      <c r="A22" s="1" t="s">
        <v>24</v>
      </c>
      <c r="B22" s="1">
        <v>20038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6">
        <v>45079</v>
      </c>
    </row>
    <row r="23" spans="1:24" x14ac:dyDescent="0.25">
      <c r="A23" s="1" t="s">
        <v>31</v>
      </c>
      <c r="B23" s="1">
        <v>20060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45</v>
      </c>
      <c r="H23" s="1">
        <v>65.900000000000006</v>
      </c>
      <c r="I23" s="1">
        <v>79.400000000000006</v>
      </c>
      <c r="J23" s="1">
        <v>-1</v>
      </c>
      <c r="K23" s="1">
        <v>-1</v>
      </c>
      <c r="L23" s="1">
        <v>-1</v>
      </c>
      <c r="M23" s="1">
        <v>90.9</v>
      </c>
      <c r="N23" s="1">
        <v>133.4</v>
      </c>
      <c r="O23" s="1">
        <v>160.9</v>
      </c>
      <c r="P23" s="1">
        <v>45</v>
      </c>
      <c r="Q23" s="1">
        <v>65.900000000000006</v>
      </c>
      <c r="R23" s="1">
        <v>79.400000000000006</v>
      </c>
      <c r="S23" s="1">
        <v>133.4</v>
      </c>
      <c r="T23" s="1">
        <v>160.9</v>
      </c>
      <c r="U23" s="1">
        <v>65.900000000000006</v>
      </c>
      <c r="V23" s="1">
        <v>79.400000000000006</v>
      </c>
      <c r="W23" s="1">
        <v>79.400000000000006</v>
      </c>
      <c r="X23" s="46">
        <v>45157</v>
      </c>
    </row>
    <row r="24" spans="1:24" x14ac:dyDescent="0.25">
      <c r="A24" s="1" t="s">
        <v>10</v>
      </c>
      <c r="B24" s="1">
        <v>20010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7.1</v>
      </c>
      <c r="H24" s="1">
        <v>10.4</v>
      </c>
      <c r="I24" s="1">
        <v>12.8</v>
      </c>
      <c r="J24" s="1">
        <v>-1</v>
      </c>
      <c r="K24" s="1">
        <v>-1</v>
      </c>
      <c r="L24" s="1">
        <v>-1</v>
      </c>
      <c r="M24" s="1">
        <v>14.4</v>
      </c>
      <c r="N24" s="1">
        <v>21.5</v>
      </c>
      <c r="O24" s="1">
        <v>26.1</v>
      </c>
      <c r="P24" s="1">
        <v>7.1</v>
      </c>
      <c r="Q24" s="1">
        <v>10.4</v>
      </c>
      <c r="R24" s="1">
        <v>12.8</v>
      </c>
      <c r="S24" s="1">
        <v>21.5</v>
      </c>
      <c r="T24" s="1">
        <v>26.1</v>
      </c>
      <c r="U24" s="1">
        <v>10.4</v>
      </c>
      <c r="V24" s="1">
        <v>12.8</v>
      </c>
      <c r="W24" s="1">
        <v>12.8</v>
      </c>
      <c r="X24" s="46">
        <v>45057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8</v>
      </c>
      <c r="B26" s="1">
        <v>20006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4.9000000000000004</v>
      </c>
      <c r="H26" s="1">
        <v>6.6</v>
      </c>
      <c r="I26" s="1">
        <v>8.1</v>
      </c>
      <c r="J26" s="1">
        <v>-1</v>
      </c>
      <c r="K26" s="1">
        <v>-1</v>
      </c>
      <c r="L26" s="1">
        <v>-1</v>
      </c>
      <c r="M26" s="1">
        <v>10</v>
      </c>
      <c r="N26" s="1">
        <v>13.3</v>
      </c>
      <c r="O26" s="1">
        <v>17</v>
      </c>
      <c r="P26" s="1">
        <v>4.9000000000000004</v>
      </c>
      <c r="Q26" s="1">
        <v>6.6</v>
      </c>
      <c r="R26" s="1">
        <v>8.1</v>
      </c>
      <c r="S26" s="1">
        <v>13.3</v>
      </c>
      <c r="T26" s="1">
        <v>17</v>
      </c>
      <c r="U26" s="1">
        <v>6.6</v>
      </c>
      <c r="V26" s="1">
        <v>8.1</v>
      </c>
      <c r="W26" s="1">
        <v>8.1</v>
      </c>
      <c r="X26" s="46">
        <v>45059</v>
      </c>
    </row>
    <row r="27" spans="1:24" x14ac:dyDescent="0.25">
      <c r="A27" s="1" t="s">
        <v>37</v>
      </c>
      <c r="B27" s="1">
        <v>21012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49.1</v>
      </c>
      <c r="H27" s="1">
        <v>72.8</v>
      </c>
      <c r="I27" s="1">
        <v>90.9</v>
      </c>
      <c r="J27" s="1">
        <v>-1</v>
      </c>
      <c r="K27" s="1">
        <v>-1</v>
      </c>
      <c r="L27" s="1">
        <v>-1</v>
      </c>
      <c r="M27" s="1">
        <v>99.5</v>
      </c>
      <c r="N27" s="1">
        <v>146.80000000000001</v>
      </c>
      <c r="O27" s="1">
        <v>183.5</v>
      </c>
      <c r="P27" s="1">
        <v>49.1</v>
      </c>
      <c r="Q27" s="1">
        <v>72.8</v>
      </c>
      <c r="R27" s="1">
        <v>90.9</v>
      </c>
      <c r="S27" s="1">
        <v>146.80000000000001</v>
      </c>
      <c r="T27" s="1">
        <v>183.5</v>
      </c>
      <c r="U27" s="1">
        <v>72.8</v>
      </c>
      <c r="V27" s="1">
        <v>90.9</v>
      </c>
      <c r="W27" s="1">
        <v>90.9</v>
      </c>
      <c r="X27" s="46">
        <v>45143</v>
      </c>
    </row>
    <row r="28" spans="1:24" x14ac:dyDescent="0.25">
      <c r="A28" s="1" t="s">
        <v>34</v>
      </c>
      <c r="B28" s="1">
        <v>21004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43.3</v>
      </c>
      <c r="H28" s="1">
        <v>63.6</v>
      </c>
      <c r="I28" s="1">
        <v>79.400000000000006</v>
      </c>
      <c r="J28" s="1">
        <v>-1</v>
      </c>
      <c r="K28" s="1">
        <v>-1</v>
      </c>
      <c r="L28" s="1">
        <v>-1</v>
      </c>
      <c r="M28" s="1">
        <v>87.6</v>
      </c>
      <c r="N28" s="1">
        <v>128.6</v>
      </c>
      <c r="O28" s="1">
        <v>160.9</v>
      </c>
      <c r="P28" s="1">
        <v>43.3</v>
      </c>
      <c r="Q28" s="1">
        <v>63.6</v>
      </c>
      <c r="R28" s="1">
        <v>79.400000000000006</v>
      </c>
      <c r="S28" s="1">
        <v>128.6</v>
      </c>
      <c r="T28" s="1">
        <v>160.9</v>
      </c>
      <c r="U28" s="1">
        <v>63.6</v>
      </c>
      <c r="V28" s="1">
        <v>79.400000000000006</v>
      </c>
      <c r="W28" s="1">
        <v>79.400000000000006</v>
      </c>
      <c r="X28" s="46">
        <v>45162</v>
      </c>
    </row>
    <row r="29" spans="1:24" x14ac:dyDescent="0.25">
      <c r="A29" s="1" t="s">
        <v>23</v>
      </c>
      <c r="B29" s="1">
        <v>20036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33.799999999999997</v>
      </c>
      <c r="H29" s="1">
        <v>50.1</v>
      </c>
      <c r="I29" s="1">
        <v>61.4</v>
      </c>
      <c r="J29" s="1">
        <v>-1</v>
      </c>
      <c r="K29" s="1">
        <v>-1</v>
      </c>
      <c r="L29" s="1">
        <v>-1</v>
      </c>
      <c r="M29" s="1">
        <v>67.900000000000006</v>
      </c>
      <c r="N29" s="1">
        <v>101.3</v>
      </c>
      <c r="O29" s="1">
        <v>124.4</v>
      </c>
      <c r="P29" s="1">
        <v>33.799999999999997</v>
      </c>
      <c r="Q29" s="1">
        <v>50.1</v>
      </c>
      <c r="R29" s="1">
        <v>61.4</v>
      </c>
      <c r="S29" s="1">
        <v>101.3</v>
      </c>
      <c r="T29" s="1">
        <v>124.4</v>
      </c>
      <c r="U29" s="1">
        <v>50.1</v>
      </c>
      <c r="V29" s="1">
        <v>61.4</v>
      </c>
      <c r="W29" s="1">
        <v>61.4</v>
      </c>
      <c r="X29" s="46">
        <v>45091</v>
      </c>
    </row>
    <row r="30" spans="1:24" x14ac:dyDescent="0.25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6">
        <v>45110</v>
      </c>
    </row>
    <row r="31" spans="1:24" x14ac:dyDescent="0.25">
      <c r="A31" s="1" t="s">
        <v>42</v>
      </c>
      <c r="B31" s="1">
        <v>21010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48.3</v>
      </c>
      <c r="H31" s="1">
        <v>72</v>
      </c>
      <c r="I31" s="1">
        <v>89</v>
      </c>
      <c r="J31" s="1">
        <v>-1</v>
      </c>
      <c r="K31" s="1">
        <v>-1</v>
      </c>
      <c r="L31" s="1">
        <v>-1</v>
      </c>
      <c r="M31" s="1">
        <v>97.9</v>
      </c>
      <c r="N31" s="1">
        <v>145.5</v>
      </c>
      <c r="O31" s="1">
        <v>179.8</v>
      </c>
      <c r="P31" s="1">
        <v>48.3</v>
      </c>
      <c r="Q31" s="1">
        <v>72</v>
      </c>
      <c r="R31" s="1">
        <v>89</v>
      </c>
      <c r="S31" s="1">
        <v>145.5</v>
      </c>
      <c r="T31" s="1">
        <v>179.8</v>
      </c>
      <c r="U31" s="1">
        <v>72</v>
      </c>
      <c r="V31" s="1">
        <v>89</v>
      </c>
      <c r="W31" s="1">
        <v>89</v>
      </c>
      <c r="X31" s="46">
        <v>45157</v>
      </c>
    </row>
    <row r="32" spans="1:24" x14ac:dyDescent="0.25">
      <c r="A32" s="1" t="s">
        <v>12</v>
      </c>
      <c r="B32" s="1">
        <v>20014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11.6</v>
      </c>
      <c r="H32" s="1">
        <v>17.3</v>
      </c>
      <c r="I32" s="1">
        <v>21.3</v>
      </c>
      <c r="J32" s="1">
        <v>-1</v>
      </c>
      <c r="K32" s="1">
        <v>-1</v>
      </c>
      <c r="L32" s="1">
        <v>-1</v>
      </c>
      <c r="M32" s="1">
        <v>23.6</v>
      </c>
      <c r="N32" s="1">
        <v>35.200000000000003</v>
      </c>
      <c r="O32" s="1">
        <v>43</v>
      </c>
      <c r="P32" s="1">
        <v>11.6</v>
      </c>
      <c r="Q32" s="1">
        <v>17.3</v>
      </c>
      <c r="R32" s="1">
        <v>21.3</v>
      </c>
      <c r="S32" s="1">
        <v>35.200000000000003</v>
      </c>
      <c r="T32" s="1">
        <v>43</v>
      </c>
      <c r="U32" s="1">
        <v>17.3</v>
      </c>
      <c r="V32" s="1">
        <v>21.3</v>
      </c>
      <c r="W32" s="1">
        <v>21.3</v>
      </c>
      <c r="X32" s="46">
        <v>45098</v>
      </c>
    </row>
    <row r="33" spans="1:24" x14ac:dyDescent="0.25">
      <c r="A33" s="1" t="s">
        <v>58</v>
      </c>
      <c r="B33" s="1">
        <v>20058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46">
        <v>45150</v>
      </c>
    </row>
    <row r="34" spans="1:24" x14ac:dyDescent="0.25">
      <c r="A34" s="1" t="s">
        <v>26</v>
      </c>
      <c r="B34" s="1">
        <v>20044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38.700000000000003</v>
      </c>
      <c r="H34" s="1">
        <v>59.2</v>
      </c>
      <c r="I34" s="1">
        <v>70.400000000000006</v>
      </c>
      <c r="J34" s="1">
        <v>-1</v>
      </c>
      <c r="K34" s="1">
        <v>-1</v>
      </c>
      <c r="L34" s="1">
        <v>-1</v>
      </c>
      <c r="M34" s="1">
        <v>78.599999999999994</v>
      </c>
      <c r="N34" s="1">
        <v>119.4</v>
      </c>
      <c r="O34" s="1">
        <v>142.5</v>
      </c>
      <c r="P34" s="1">
        <v>38.700000000000003</v>
      </c>
      <c r="Q34" s="1">
        <v>59.2</v>
      </c>
      <c r="R34" s="1">
        <v>70.400000000000006</v>
      </c>
      <c r="S34" s="1">
        <v>119.4</v>
      </c>
      <c r="T34" s="1">
        <v>142.5</v>
      </c>
      <c r="U34" s="1">
        <v>59.2</v>
      </c>
      <c r="V34" s="1">
        <v>70.400000000000006</v>
      </c>
      <c r="W34" s="1">
        <v>70.400000000000006</v>
      </c>
      <c r="X34" s="46">
        <v>45114</v>
      </c>
    </row>
    <row r="35" spans="1:24" x14ac:dyDescent="0.25">
      <c r="A35" s="1" t="s">
        <v>57</v>
      </c>
      <c r="B35" s="1">
        <v>20050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41.3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83.5</v>
      </c>
      <c r="N35" s="1">
        <v>124.4</v>
      </c>
      <c r="O35" s="1">
        <v>151.5</v>
      </c>
      <c r="P35" s="1">
        <v>41.3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6">
        <v>45146</v>
      </c>
    </row>
    <row r="36" spans="1:24" x14ac:dyDescent="0.25">
      <c r="A36" s="1" t="s">
        <v>40</v>
      </c>
      <c r="B36" s="1">
        <v>20000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2.7</v>
      </c>
      <c r="H36" s="1">
        <v>3.6</v>
      </c>
      <c r="I36" s="1">
        <v>4.2</v>
      </c>
      <c r="J36" s="1">
        <v>-1</v>
      </c>
      <c r="K36" s="1">
        <v>-1</v>
      </c>
      <c r="L36" s="1">
        <v>-1</v>
      </c>
      <c r="M36" s="1">
        <v>5.3</v>
      </c>
      <c r="N36" s="1">
        <v>7.6</v>
      </c>
      <c r="O36" s="1">
        <v>8.9</v>
      </c>
      <c r="P36" s="1">
        <v>2.7</v>
      </c>
      <c r="Q36" s="1">
        <v>3.6</v>
      </c>
      <c r="R36" s="1">
        <v>4.2</v>
      </c>
      <c r="S36" s="1">
        <v>7.6</v>
      </c>
      <c r="T36" s="1">
        <v>8.9</v>
      </c>
      <c r="U36" s="1">
        <v>3.6</v>
      </c>
      <c r="V36" s="1">
        <v>4.2</v>
      </c>
      <c r="W36" s="1">
        <v>4.2</v>
      </c>
      <c r="X36" s="46">
        <v>45051</v>
      </c>
    </row>
    <row r="37" spans="1:24" x14ac:dyDescent="0.25">
      <c r="A37" s="1" t="s">
        <v>38</v>
      </c>
      <c r="B37" s="1">
        <v>21014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50.6</v>
      </c>
      <c r="H37" s="1">
        <v>75</v>
      </c>
      <c r="I37" s="1">
        <v>93.1</v>
      </c>
      <c r="J37" s="1">
        <v>-1</v>
      </c>
      <c r="K37" s="1">
        <v>-1</v>
      </c>
      <c r="L37" s="1">
        <v>-1</v>
      </c>
      <c r="M37" s="1">
        <v>102.6</v>
      </c>
      <c r="N37" s="1">
        <v>151.5</v>
      </c>
      <c r="O37" s="1">
        <v>188.1</v>
      </c>
      <c r="P37" s="1">
        <v>50.6</v>
      </c>
      <c r="Q37" s="1">
        <v>75</v>
      </c>
      <c r="R37" s="1">
        <v>93.1</v>
      </c>
      <c r="S37" s="1">
        <v>151.5</v>
      </c>
      <c r="T37" s="1">
        <v>188.1</v>
      </c>
      <c r="U37" s="1">
        <v>75</v>
      </c>
      <c r="V37" s="1">
        <v>93.1</v>
      </c>
      <c r="W37" s="1">
        <v>93.1</v>
      </c>
      <c r="X37" s="46">
        <v>45166</v>
      </c>
    </row>
    <row r="38" spans="1:24" x14ac:dyDescent="0.25">
      <c r="A38" s="1" t="s">
        <v>29</v>
      </c>
      <c r="B38" s="1">
        <v>20052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42.3</v>
      </c>
      <c r="H38" s="1">
        <v>61.4</v>
      </c>
      <c r="I38" s="1">
        <v>75</v>
      </c>
      <c r="J38" s="1">
        <v>-1</v>
      </c>
      <c r="K38" s="1">
        <v>-1</v>
      </c>
      <c r="L38" s="1">
        <v>-1</v>
      </c>
      <c r="M38" s="1">
        <v>85.4</v>
      </c>
      <c r="N38" s="1">
        <v>124.4</v>
      </c>
      <c r="O38" s="1">
        <v>151.5</v>
      </c>
      <c r="P38" s="1">
        <v>42.3</v>
      </c>
      <c r="Q38" s="1">
        <v>61.4</v>
      </c>
      <c r="R38" s="1">
        <v>75</v>
      </c>
      <c r="S38" s="1">
        <v>124.4</v>
      </c>
      <c r="T38" s="1">
        <v>151.5</v>
      </c>
      <c r="U38" s="1">
        <v>61.4</v>
      </c>
      <c r="V38" s="1">
        <v>75</v>
      </c>
      <c r="W38" s="1">
        <v>75</v>
      </c>
      <c r="X38" s="46">
        <v>45108</v>
      </c>
    </row>
    <row r="39" spans="1:24" x14ac:dyDescent="0.25">
      <c r="A39" s="1" t="s">
        <v>16</v>
      </c>
      <c r="B39" s="1">
        <v>20022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21.9</v>
      </c>
      <c r="H39" s="1">
        <v>32.1</v>
      </c>
      <c r="I39" s="1">
        <v>40.1</v>
      </c>
      <c r="J39" s="1">
        <v>-1</v>
      </c>
      <c r="K39" s="1">
        <v>-1</v>
      </c>
      <c r="L39" s="1">
        <v>-1</v>
      </c>
      <c r="M39" s="1">
        <v>42.3</v>
      </c>
      <c r="N39" s="1">
        <v>61.5</v>
      </c>
      <c r="O39" s="1">
        <v>76.599999999999994</v>
      </c>
      <c r="P39" s="1">
        <v>21.9</v>
      </c>
      <c r="Q39" s="1">
        <v>32.1</v>
      </c>
      <c r="R39" s="1">
        <v>40.1</v>
      </c>
      <c r="S39" s="1">
        <v>61.5</v>
      </c>
      <c r="T39" s="1">
        <v>76.599999999999994</v>
      </c>
      <c r="U39" s="1">
        <v>32.1</v>
      </c>
      <c r="V39" s="1">
        <v>40.1</v>
      </c>
      <c r="W39" s="1">
        <v>40.1</v>
      </c>
      <c r="X39" s="46">
        <v>45110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1:W1048576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77.83203125" style="1" customWidth="1"/>
    <col min="3" max="3" width="35.6640625" style="1" customWidth="1"/>
    <col min="4" max="4" width="37.1640625" style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D5" s="1" t="s">
        <v>179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3" sqref="H2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VLOOKUP(A6,Dataset!$A:$G,7)</f>
        <v>2.7</v>
      </c>
      <c r="C6" s="12">
        <f>VLOOKUP(A6,Dataset!$A:$N,14)</f>
        <v>7.6</v>
      </c>
      <c r="D6" s="12">
        <f>VLOOKUP(A6,Dataset!A:R,18)</f>
        <v>4.2</v>
      </c>
      <c r="E6" s="12">
        <f>VLOOKUP(A6,Dataset!A:T,20)</f>
        <v>8.9</v>
      </c>
      <c r="F6" s="8">
        <f>VLOOKUP(A6,Dataset!A:V,22)</f>
        <v>4.2</v>
      </c>
    </row>
    <row r="7" spans="1:7" ht="15" x14ac:dyDescent="0.25">
      <c r="A7" s="7" t="s">
        <v>4</v>
      </c>
      <c r="B7" s="12">
        <f>VLOOKUP(A7,Dataset!$A:$G,7)</f>
        <v>2.7</v>
      </c>
      <c r="C7" s="12">
        <f>VLOOKUP(A7,Dataset!$A:$N,14)</f>
        <v>7.6</v>
      </c>
      <c r="D7" s="12">
        <f>VLOOKUP(A7,Dataset!A:R,18)</f>
        <v>4.2</v>
      </c>
      <c r="E7" s="12">
        <f>VLOOKUP(A7,Dataset!A:T,20)</f>
        <v>8.9</v>
      </c>
      <c r="F7" s="8">
        <f>VLOOKUP(A7,Dataset!A:V,22)</f>
        <v>4.2</v>
      </c>
    </row>
    <row r="8" spans="1:7" ht="15" x14ac:dyDescent="0.25">
      <c r="A8" s="7" t="s">
        <v>7</v>
      </c>
      <c r="B8" s="12">
        <f>VLOOKUP(A8,Dataset!$A:$G,7)</f>
        <v>3.6</v>
      </c>
      <c r="C8" s="12">
        <f>VLOOKUP(A8,Dataset!$A:$N,14)</f>
        <v>11.1</v>
      </c>
      <c r="D8" s="12">
        <f>VLOOKUP(A8,Dataset!A:R,18)</f>
        <v>5.8</v>
      </c>
      <c r="E8" s="12">
        <f>VLOOKUP(A8,Dataset!A:T,20)</f>
        <v>12.2</v>
      </c>
      <c r="F8" s="8">
        <f>VLOOKUP(A8,Dataset!A:V,22)</f>
        <v>5.8</v>
      </c>
    </row>
    <row r="9" spans="1:7" ht="15" x14ac:dyDescent="0.25">
      <c r="A9" s="7" t="s">
        <v>8</v>
      </c>
      <c r="B9" s="12">
        <f>VLOOKUP(A9,Dataset!$A:$G,7)</f>
        <v>4.9000000000000004</v>
      </c>
      <c r="C9" s="12">
        <f>VLOOKUP(A9,Dataset!$A:$N,14)</f>
        <v>13.3</v>
      </c>
      <c r="D9" s="12">
        <f>VLOOKUP(A9,Dataset!A:R,18)</f>
        <v>8.1</v>
      </c>
      <c r="E9" s="12">
        <f>VLOOKUP(A9,Dataset!A:T,20)</f>
        <v>17</v>
      </c>
      <c r="F9" s="8">
        <f>VLOOKUP(A9,Dataset!A:V,22)</f>
        <v>8.1</v>
      </c>
    </row>
    <row r="10" spans="1:7" ht="15" x14ac:dyDescent="0.25">
      <c r="A10" s="7" t="s">
        <v>11</v>
      </c>
      <c r="B10" s="12">
        <f>VLOOKUP(A10,Dataset!$A:$G,7)</f>
        <v>9.4</v>
      </c>
      <c r="C10" s="12">
        <f>VLOOKUP(A10,Dataset!$A:$N,14)</f>
        <v>28.3</v>
      </c>
      <c r="D10" s="12">
        <f>VLOOKUP(A10,Dataset!A:R,18)</f>
        <v>16.100000000000001</v>
      </c>
      <c r="E10" s="12">
        <f>VLOOKUP(A10,Dataset!A:T,20)</f>
        <v>32.799999999999997</v>
      </c>
      <c r="F10" s="8">
        <f>VLOOKUP(A10,Dataset!A:V,22)</f>
        <v>16.100000000000001</v>
      </c>
    </row>
    <row r="11" spans="1:7" ht="15" x14ac:dyDescent="0.25">
      <c r="A11" s="7" t="s">
        <v>12</v>
      </c>
      <c r="B11" s="12">
        <f>VLOOKUP(A11,Dataset!$A:$G,7)</f>
        <v>11.6</v>
      </c>
      <c r="C11" s="12">
        <f>VLOOKUP(A11,Dataset!$A:$N,14)</f>
        <v>35.200000000000003</v>
      </c>
      <c r="D11" s="12">
        <f>VLOOKUP(A11,Dataset!A:R,18)</f>
        <v>21.3</v>
      </c>
      <c r="E11" s="12">
        <f>VLOOKUP(A11,Dataset!A:T,20)</f>
        <v>43</v>
      </c>
      <c r="F11" s="8">
        <f>VLOOKUP(A11,Dataset!A:V,22)</f>
        <v>21.3</v>
      </c>
    </row>
    <row r="12" spans="1:7" ht="15" x14ac:dyDescent="0.25">
      <c r="A12" s="7" t="s">
        <v>14</v>
      </c>
      <c r="B12" s="12">
        <f>VLOOKUP(A12,Dataset!$A:$G,7)</f>
        <v>18.399999999999999</v>
      </c>
      <c r="C12" s="12">
        <f>VLOOKUP(A12,Dataset!$A:$N,14)</f>
        <v>55.6</v>
      </c>
      <c r="D12" s="12">
        <f>VLOOKUP(A12,Dataset!A:R,18)</f>
        <v>33.799999999999997</v>
      </c>
      <c r="E12" s="12">
        <f>VLOOKUP(A12,Dataset!A:T,20)</f>
        <v>67.900000000000006</v>
      </c>
      <c r="F12" s="8">
        <f>VLOOKUP(A12,Dataset!A:V,22)</f>
        <v>33.799999999999997</v>
      </c>
    </row>
    <row r="13" spans="1:7" ht="15" x14ac:dyDescent="0.25">
      <c r="A13" s="7" t="s">
        <v>15</v>
      </c>
      <c r="B13" s="12">
        <f>VLOOKUP(A13,Dataset!$A:$G,7)</f>
        <v>0</v>
      </c>
      <c r="C13" s="12">
        <f>VLOOKUP(A13,Dataset!$A:$N,14)</f>
        <v>0</v>
      </c>
      <c r="D13" s="12">
        <f>VLOOKUP(A13,Dataset!A:R,18)</f>
        <v>0</v>
      </c>
      <c r="E13" s="12">
        <f>VLOOKUP(A13,Dataset!A:T,20)</f>
        <v>0</v>
      </c>
      <c r="F13" s="8">
        <f>VLOOKUP(A13,Dataset!A:V,22)</f>
        <v>0</v>
      </c>
    </row>
    <row r="14" spans="1:7" ht="15" x14ac:dyDescent="0.25">
      <c r="A14" s="7" t="s">
        <v>16</v>
      </c>
      <c r="B14" s="12">
        <f>VLOOKUP(A14,Dataset!$A:$G,7)</f>
        <v>21.9</v>
      </c>
      <c r="C14" s="12">
        <f>VLOOKUP(A14,Dataset!$A:$N,14)</f>
        <v>61.5</v>
      </c>
      <c r="D14" s="12">
        <f>VLOOKUP(A14,Dataset!A:R,18)</f>
        <v>40.1</v>
      </c>
      <c r="E14" s="12">
        <f>VLOOKUP(A14,Dataset!A:T,20)</f>
        <v>76.599999999999994</v>
      </c>
      <c r="F14" s="8">
        <f>VLOOKUP(A14,Dataset!A:V,22)</f>
        <v>40.1</v>
      </c>
    </row>
    <row r="15" spans="1:7" ht="15" x14ac:dyDescent="0.25">
      <c r="A15" s="7" t="s">
        <v>18</v>
      </c>
      <c r="B15" s="12">
        <f>VLOOKUP(A15,Dataset!$A:$G,7)</f>
        <v>26.8</v>
      </c>
      <c r="C15" s="12">
        <f>VLOOKUP(A15,Dataset!$A:$N,14)</f>
        <v>79.599999999999994</v>
      </c>
      <c r="D15" s="12">
        <f>VLOOKUP(A15,Dataset!A:R,18)</f>
        <v>47.9</v>
      </c>
      <c r="E15" s="12">
        <f>VLOOKUP(A15,Dataset!A:T,20)</f>
        <v>96.8</v>
      </c>
      <c r="F15" s="8">
        <f>VLOOKUP(A15,Dataset!A:V,22)</f>
        <v>47.9</v>
      </c>
    </row>
    <row r="16" spans="1:7" ht="15" x14ac:dyDescent="0.25">
      <c r="A16" s="7" t="s">
        <v>20</v>
      </c>
      <c r="B16" s="12">
        <f>VLOOKUP(A16,Dataset!$A:$G,7)</f>
        <v>28.5</v>
      </c>
      <c r="C16" s="12">
        <f>VLOOKUP(A16,Dataset!$A:$N,14)</f>
        <v>85.4</v>
      </c>
      <c r="D16" s="12">
        <f>VLOOKUP(A16,Dataset!A:R,18)</f>
        <v>52.3</v>
      </c>
      <c r="E16" s="12">
        <f>VLOOKUP(A16,Dataset!A:T,20)</f>
        <v>106.1</v>
      </c>
      <c r="F16" s="8">
        <f>VLOOKUP(A16,Dataset!A:V,22)</f>
        <v>52.3</v>
      </c>
    </row>
    <row r="17" spans="1:6" ht="15" x14ac:dyDescent="0.25">
      <c r="A17" s="7" t="s">
        <v>22</v>
      </c>
      <c r="B17" s="12">
        <f>VLOOKUP(A17,Dataset!$A:$G,7)</f>
        <v>30.7</v>
      </c>
      <c r="C17" s="12">
        <f>VLOOKUP(A17,Dataset!$A:$N,14)</f>
        <v>92.1</v>
      </c>
      <c r="D17" s="12">
        <f>VLOOKUP(A17,Dataset!A:R,18)</f>
        <v>57</v>
      </c>
      <c r="E17" s="12">
        <f>VLOOKUP(A17,Dataset!A:T,20)</f>
        <v>115.1</v>
      </c>
      <c r="F17" s="8">
        <f>VLOOKUP(A17,Dataset!A:V,22)</f>
        <v>57</v>
      </c>
    </row>
    <row r="18" spans="1:6" ht="15" x14ac:dyDescent="0.25">
      <c r="A18" s="7" t="s">
        <v>23</v>
      </c>
      <c r="B18" s="12">
        <f>VLOOKUP(A18,Dataset!$A:$G,7)</f>
        <v>33.799999999999997</v>
      </c>
      <c r="C18" s="12">
        <f>VLOOKUP(A18,Dataset!$A:$N,14)</f>
        <v>101.3</v>
      </c>
      <c r="D18" s="12">
        <f>VLOOKUP(A18,Dataset!A:R,18)</f>
        <v>61.4</v>
      </c>
      <c r="E18" s="12">
        <f>VLOOKUP(A18,Dataset!A:T,20)</f>
        <v>124.4</v>
      </c>
      <c r="F18" s="8">
        <f>VLOOKUP(A18,Dataset!A:V,22)</f>
        <v>61.4</v>
      </c>
    </row>
    <row r="19" spans="1:6" ht="15" x14ac:dyDescent="0.25">
      <c r="A19" s="7" t="s">
        <v>24</v>
      </c>
      <c r="B19" s="12">
        <f>VLOOKUP(A19,Dataset!$A:$G,7)</f>
        <v>34.700000000000003</v>
      </c>
      <c r="C19" s="12">
        <f>VLOOKUP(A19,Dataset!$A:$N,14)</f>
        <v>106.1</v>
      </c>
      <c r="D19" s="12">
        <f>VLOOKUP(A19,Dataset!A:R,18)</f>
        <v>63.6</v>
      </c>
      <c r="E19" s="12">
        <f>VLOOKUP(A19,Dataset!A:T,20)</f>
        <v>128.6</v>
      </c>
      <c r="F19" s="8">
        <f>VLOOKUP(A19,Dataset!A:V,22)</f>
        <v>63.6</v>
      </c>
    </row>
    <row r="20" spans="1:6" ht="15" x14ac:dyDescent="0.25">
      <c r="A20" s="7" t="s">
        <v>28</v>
      </c>
      <c r="B20" s="12">
        <f>VLOOKUP(A20,Dataset!$A:$G,7)</f>
        <v>0</v>
      </c>
      <c r="C20" s="12">
        <f>VLOOKUP(A20,Dataset!$A:$N,14)</f>
        <v>0</v>
      </c>
      <c r="D20" s="12">
        <f>VLOOKUP(A20,Dataset!A:R,18)</f>
        <v>0</v>
      </c>
      <c r="E20" s="12">
        <f>VLOOKUP(A20,Dataset!A:T,20)</f>
        <v>0</v>
      </c>
      <c r="F20" s="8">
        <f>VLOOKUP(A20,Dataset!A:V,22)</f>
        <v>0</v>
      </c>
    </row>
    <row r="21" spans="1:6" ht="15" x14ac:dyDescent="0.25">
      <c r="A21" s="7" t="s">
        <v>57</v>
      </c>
      <c r="B21" s="12">
        <f>VLOOKUP(A21,Dataset!$A:$G,7)</f>
        <v>41.3</v>
      </c>
      <c r="C21" s="12">
        <f>VLOOKUP(A21,Dataset!$A:$N,14)</f>
        <v>124.4</v>
      </c>
      <c r="D21" s="12">
        <f>VLOOKUP(A21,Dataset!A:R,18)</f>
        <v>75</v>
      </c>
      <c r="E21" s="12">
        <f>VLOOKUP(A21,Dataset!A:T,20)</f>
        <v>151.5</v>
      </c>
      <c r="F21" s="8">
        <f>VLOOKUP(A21,Dataset!A:V,22)</f>
        <v>75</v>
      </c>
    </row>
    <row r="22" spans="1:6" ht="15" x14ac:dyDescent="0.25">
      <c r="A22" s="7" t="s">
        <v>58</v>
      </c>
      <c r="B22" s="12">
        <f>VLOOKUP(A22,Dataset!$A:$G,7)</f>
        <v>-1</v>
      </c>
      <c r="C22" s="12">
        <f>VLOOKUP(A22,Dataset!$A:$N,14)</f>
        <v>-1</v>
      </c>
      <c r="D22" s="12">
        <f>VLOOKUP(A22,Dataset!A:R,18)</f>
        <v>-1</v>
      </c>
      <c r="E22" s="12">
        <f>VLOOKUP(A22,Dataset!A:T,20)</f>
        <v>-1</v>
      </c>
      <c r="F22" s="8">
        <f>VLOOKUP(A22,Dataset!A:V,22)</f>
        <v>-1</v>
      </c>
    </row>
    <row r="23" spans="1:6" ht="15" x14ac:dyDescent="0.25">
      <c r="A23" s="7" t="s">
        <v>31</v>
      </c>
      <c r="B23" s="12">
        <f>VLOOKUP(A23,Dataset!$A:$G,7)</f>
        <v>45</v>
      </c>
      <c r="C23" s="12">
        <f>VLOOKUP(A23,Dataset!$A:$N,14)</f>
        <v>133.4</v>
      </c>
      <c r="D23" s="12">
        <f>VLOOKUP(A23,Dataset!A:R,18)</f>
        <v>79.400000000000006</v>
      </c>
      <c r="E23" s="12">
        <f>VLOOKUP(A23,Dataset!A:T,20)</f>
        <v>160.9</v>
      </c>
      <c r="F23" s="8">
        <f>VLOOKUP(A23,Dataset!A:V,22)</f>
        <v>79.400000000000006</v>
      </c>
    </row>
    <row r="24" spans="1:6" ht="15" x14ac:dyDescent="0.25">
      <c r="A24" s="7" t="s">
        <v>32</v>
      </c>
      <c r="B24" s="12">
        <f>VLOOKUP(A24,Dataset!$A:$G,7)</f>
        <v>-1</v>
      </c>
      <c r="C24" s="12">
        <f>VLOOKUP(A24,Dataset!$A:$N,14)</f>
        <v>-1</v>
      </c>
      <c r="D24" s="12">
        <f>VLOOKUP(A24,Dataset!A:R,18)</f>
        <v>-1</v>
      </c>
      <c r="E24" s="12">
        <f>VLOOKUP(A24,Dataset!A:T,20)</f>
        <v>-1</v>
      </c>
      <c r="F24" s="8">
        <f>VLOOKUP(A24,Dataset!A:V,22)</f>
        <v>-1</v>
      </c>
    </row>
    <row r="25" spans="1:6" ht="15" x14ac:dyDescent="0.25">
      <c r="A25" s="7" t="s">
        <v>34</v>
      </c>
      <c r="B25" s="12">
        <f>VLOOKUP(A25,Dataset!$A:$G,7)</f>
        <v>43.3</v>
      </c>
      <c r="C25" s="12">
        <f>VLOOKUP(A25,Dataset!$A:$N,14)</f>
        <v>128.6</v>
      </c>
      <c r="D25" s="12">
        <f>VLOOKUP(A25,Dataset!A:R,18)</f>
        <v>79.400000000000006</v>
      </c>
      <c r="E25" s="12">
        <f>VLOOKUP(A25,Dataset!A:T,20)</f>
        <v>160.9</v>
      </c>
      <c r="F25" s="8">
        <f>VLOOKUP(A25,Dataset!A:V,22)</f>
        <v>79.400000000000006</v>
      </c>
    </row>
    <row r="26" spans="1:6" ht="15" x14ac:dyDescent="0.25">
      <c r="A26" s="7" t="s">
        <v>37</v>
      </c>
      <c r="B26" s="12">
        <f>VLOOKUP(A26,Dataset!$A:$G,7)</f>
        <v>49.1</v>
      </c>
      <c r="C26" s="12">
        <f>VLOOKUP(A26,Dataset!$A:$N,14)</f>
        <v>146.80000000000001</v>
      </c>
      <c r="D26" s="12">
        <f>VLOOKUP(A26,Dataset!A:R,18)</f>
        <v>90.9</v>
      </c>
      <c r="E26" s="12">
        <f>VLOOKUP(A26,Dataset!A:T,20)</f>
        <v>183.5</v>
      </c>
      <c r="F26" s="8">
        <f>VLOOKUP(A26,Dataset!A:V,22)</f>
        <v>90.9</v>
      </c>
    </row>
    <row r="27" spans="1:6" ht="15" x14ac:dyDescent="0.25">
      <c r="A27" s="7" t="s">
        <v>39</v>
      </c>
      <c r="B27" s="12">
        <f>VLOOKUP(A27,Dataset!$A:$G,7)</f>
        <v>51.8</v>
      </c>
      <c r="C27" s="12">
        <f>VLOOKUP(A27,Dataset!$A:$N,14)</f>
        <v>156.4</v>
      </c>
      <c r="D27" s="12">
        <f>VLOOKUP(A27,Dataset!A:R,18)</f>
        <v>93.1</v>
      </c>
      <c r="E27" s="12">
        <f>VLOOKUP(A27,Dataset!A:T,20)</f>
        <v>188.1</v>
      </c>
      <c r="F27" s="8">
        <f>VLOOKUP(A27,Dataset!A:V,22)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ROUND(AVERAGE(B6:B27),2)</f>
        <v>20.83</v>
      </c>
      <c r="C30" s="31">
        <f t="shared" ref="C30:F30" si="0">ROUND(AVERAGE(C6:C27),2)</f>
        <v>62.38</v>
      </c>
      <c r="D30" s="31">
        <f t="shared" si="0"/>
        <v>37.799999999999997</v>
      </c>
      <c r="E30" s="31">
        <f t="shared" si="0"/>
        <v>76.42</v>
      </c>
      <c r="F30" s="31">
        <f t="shared" si="0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8"/>
  <sheetViews>
    <sheetView zoomScaleNormal="100" workbookViewId="0">
      <selection activeCell="D11" sqref="D11"/>
    </sheetView>
  </sheetViews>
  <sheetFormatPr defaultColWidth="11" defaultRowHeight="15" x14ac:dyDescent="0.25"/>
  <cols>
    <col min="1" max="1" width="39.83203125" style="1" bestFit="1" customWidth="1"/>
    <col min="2" max="2" width="27.6640625" style="1" customWidth="1"/>
    <col min="3" max="16384" width="11" style="1"/>
  </cols>
  <sheetData>
    <row r="1" spans="1:12" s="41" customFormat="1" ht="21" x14ac:dyDescent="0.35">
      <c r="A1" s="42" t="s">
        <v>56</v>
      </c>
      <c r="B1" s="41" t="s">
        <v>174</v>
      </c>
    </row>
    <row r="2" spans="1:12" customFormat="1" ht="12.75" x14ac:dyDescent="0.2"/>
    <row r="3" spans="1:12" s="2" customFormat="1" x14ac:dyDescent="0.25">
      <c r="B3" s="1"/>
    </row>
    <row r="4" spans="1:12" s="2" customFormat="1" x14ac:dyDescent="0.25">
      <c r="B4" s="1" t="s">
        <v>151</v>
      </c>
    </row>
    <row r="5" spans="1:12" ht="18.75" x14ac:dyDescent="0.3">
      <c r="A5" s="43" t="s">
        <v>53</v>
      </c>
      <c r="B5" s="48" t="s">
        <v>180</v>
      </c>
      <c r="C5" s="49"/>
      <c r="D5" s="49"/>
      <c r="E5" s="49"/>
      <c r="F5" s="49"/>
      <c r="G5" s="49"/>
      <c r="H5" s="49"/>
      <c r="I5" s="49"/>
      <c r="J5" s="49"/>
      <c r="K5" s="49"/>
      <c r="L5" s="49"/>
    </row>
    <row r="6" spans="1:12" ht="18.75" x14ac:dyDescent="0.3">
      <c r="A6" s="43" t="s">
        <v>153</v>
      </c>
      <c r="B6" s="50" t="s">
        <v>182</v>
      </c>
      <c r="C6" s="51"/>
      <c r="D6" s="51"/>
      <c r="E6" s="49"/>
      <c r="F6" s="49"/>
      <c r="G6" s="49"/>
      <c r="H6" s="49"/>
      <c r="I6" s="49"/>
      <c r="J6" s="49"/>
      <c r="K6" s="49"/>
      <c r="L6" s="49"/>
    </row>
    <row r="7" spans="1:12" ht="18.75" x14ac:dyDescent="0.3">
      <c r="A7" s="43"/>
      <c r="B7" s="50" t="s">
        <v>183</v>
      </c>
      <c r="C7" s="51"/>
      <c r="D7" s="51"/>
      <c r="E7" s="49"/>
      <c r="F7" s="49"/>
      <c r="G7" s="49"/>
      <c r="H7" s="49"/>
      <c r="I7" s="49"/>
      <c r="J7" s="49"/>
      <c r="K7" s="49"/>
      <c r="L7" s="49"/>
    </row>
    <row r="8" spans="1:12" ht="18.75" x14ac:dyDescent="0.3">
      <c r="A8" s="43"/>
      <c r="B8" s="50" t="s">
        <v>184</v>
      </c>
      <c r="C8" s="51"/>
      <c r="D8" s="51"/>
      <c r="E8" s="51"/>
      <c r="F8" s="51"/>
      <c r="G8" s="51"/>
      <c r="H8" s="51"/>
      <c r="I8" s="50"/>
      <c r="J8" s="49"/>
      <c r="K8" s="49"/>
      <c r="L8" s="49"/>
    </row>
    <row r="9" spans="1:12" ht="18.75" x14ac:dyDescent="0.3">
      <c r="A9" s="43"/>
      <c r="B9" s="50" t="s">
        <v>186</v>
      </c>
      <c r="C9" s="51"/>
      <c r="D9" s="51"/>
      <c r="E9" s="51"/>
      <c r="F9" s="51"/>
      <c r="G9" s="51"/>
      <c r="H9" s="51"/>
      <c r="I9" s="51"/>
      <c r="J9" s="51"/>
      <c r="K9" s="51"/>
      <c r="L9" s="49"/>
    </row>
    <row r="10" spans="1:12" ht="18.75" x14ac:dyDescent="0.3">
      <c r="A10" s="43"/>
      <c r="B10" s="50" t="s">
        <v>185</v>
      </c>
      <c r="C10" s="51"/>
      <c r="D10" s="51"/>
      <c r="E10" s="51"/>
      <c r="F10" s="51"/>
      <c r="G10" s="51"/>
      <c r="H10" s="51"/>
      <c r="I10" s="51"/>
      <c r="J10" s="51"/>
      <c r="K10" s="51"/>
      <c r="L10" s="49"/>
    </row>
    <row r="11" spans="1:12" ht="18.75" x14ac:dyDescent="0.3">
      <c r="A11" s="43"/>
      <c r="B11" s="50" t="s">
        <v>181</v>
      </c>
      <c r="C11" s="51"/>
      <c r="D11" s="51"/>
      <c r="E11" s="51"/>
      <c r="F11" s="51"/>
      <c r="G11" s="51"/>
      <c r="H11" s="51"/>
      <c r="I11" s="51"/>
      <c r="J11" s="51"/>
      <c r="K11" s="51"/>
      <c r="L11" s="49"/>
    </row>
    <row r="12" spans="1:12" x14ac:dyDescent="0.25"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</row>
    <row r="13" spans="1:12" ht="23.25" x14ac:dyDescent="0.35">
      <c r="A13" s="18" t="s">
        <v>165</v>
      </c>
      <c r="J13" s="2"/>
    </row>
    <row r="14" spans="1:12" x14ac:dyDescent="0.25">
      <c r="A14" s="33" t="s">
        <v>102</v>
      </c>
      <c r="C14" s="17" t="s">
        <v>50</v>
      </c>
      <c r="D14" s="17" t="s">
        <v>51</v>
      </c>
      <c r="E14" s="17" t="s">
        <v>52</v>
      </c>
      <c r="F14" s="17" t="s">
        <v>54</v>
      </c>
      <c r="I14" s="2"/>
      <c r="J14" s="2"/>
    </row>
    <row r="15" spans="1:12" x14ac:dyDescent="0.25">
      <c r="A15" s="9" t="s">
        <v>121</v>
      </c>
      <c r="C15" s="13" t="s">
        <v>5</v>
      </c>
      <c r="D15" s="13">
        <v>0</v>
      </c>
      <c r="E15" s="11" t="s">
        <v>6</v>
      </c>
      <c r="F15" s="11">
        <v>24</v>
      </c>
      <c r="I15" s="2"/>
      <c r="J15" s="2"/>
    </row>
    <row r="18" spans="1:6" ht="23.25" x14ac:dyDescent="0.35">
      <c r="A18" s="18" t="s">
        <v>162</v>
      </c>
    </row>
    <row r="19" spans="1:6" x14ac:dyDescent="0.25">
      <c r="A19" s="14" t="s">
        <v>103</v>
      </c>
      <c r="B19" s="17" t="s">
        <v>49</v>
      </c>
      <c r="C19" s="15" t="s">
        <v>50</v>
      </c>
      <c r="D19" s="17" t="s">
        <v>51</v>
      </c>
      <c r="E19" s="15" t="s">
        <v>52</v>
      </c>
      <c r="F19" s="17" t="s">
        <v>54</v>
      </c>
    </row>
    <row r="20" spans="1:6" x14ac:dyDescent="0.25">
      <c r="A20" s="7" t="s">
        <v>121</v>
      </c>
      <c r="B20" s="12">
        <v>20000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122</v>
      </c>
      <c r="B21" s="12">
        <v>20002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123</v>
      </c>
      <c r="B22" s="12">
        <v>20004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124</v>
      </c>
      <c r="B23" s="12">
        <v>20006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125</v>
      </c>
      <c r="B24" s="12">
        <v>20008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126</v>
      </c>
      <c r="B25" s="12">
        <v>20010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127</v>
      </c>
      <c r="B26" s="12">
        <v>20012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128</v>
      </c>
      <c r="B27" s="12">
        <v>20014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129</v>
      </c>
      <c r="B28" s="12">
        <v>20016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130</v>
      </c>
      <c r="B29" s="12">
        <v>20018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131</v>
      </c>
      <c r="B30" s="12">
        <v>20020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132</v>
      </c>
      <c r="B31" s="12">
        <v>20022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133</v>
      </c>
      <c r="B32" s="12">
        <v>20024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134</v>
      </c>
      <c r="B33" s="12">
        <v>20026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135</v>
      </c>
      <c r="B34" s="12">
        <v>20028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136</v>
      </c>
      <c r="B35" s="12">
        <v>20030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137</v>
      </c>
      <c r="B36" s="12">
        <v>20032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138</v>
      </c>
      <c r="B37" s="12">
        <v>20034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139</v>
      </c>
      <c r="B38" s="12">
        <v>20036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140</v>
      </c>
      <c r="B39" s="12">
        <v>20038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141</v>
      </c>
      <c r="B40" s="12">
        <v>20040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142</v>
      </c>
      <c r="B41" s="12">
        <v>20042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143</v>
      </c>
      <c r="B42" s="12">
        <v>20044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144</v>
      </c>
      <c r="B43" s="12">
        <v>20046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145</v>
      </c>
      <c r="B44" s="12">
        <v>20048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146</v>
      </c>
      <c r="B45" s="12">
        <v>20050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147</v>
      </c>
      <c r="B46" s="12">
        <v>20052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148</v>
      </c>
      <c r="B47" s="12">
        <v>20054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149</v>
      </c>
      <c r="B48" s="12">
        <v>20058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150</v>
      </c>
      <c r="B49" s="12">
        <v>20060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112</v>
      </c>
      <c r="B50" s="12">
        <v>21000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113</v>
      </c>
      <c r="B51" s="12">
        <v>21002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114</v>
      </c>
      <c r="B52" s="12">
        <v>21004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115</v>
      </c>
      <c r="B53" s="12">
        <v>21006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7" t="s">
        <v>116</v>
      </c>
      <c r="B54" s="12">
        <v>21008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25">
      <c r="A55" s="7" t="s">
        <v>117</v>
      </c>
      <c r="B55" s="12">
        <v>21010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25">
      <c r="A56" s="7" t="s">
        <v>118</v>
      </c>
      <c r="B56" s="12">
        <v>21012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25">
      <c r="A57" s="7" t="s">
        <v>119</v>
      </c>
      <c r="B57" s="12">
        <v>21014</v>
      </c>
      <c r="C57" s="1" t="s">
        <v>5</v>
      </c>
      <c r="D57" s="12">
        <v>0</v>
      </c>
      <c r="E57" s="1" t="s">
        <v>6</v>
      </c>
      <c r="F57" s="12">
        <v>24</v>
      </c>
    </row>
    <row r="58" spans="1:6" x14ac:dyDescent="0.25">
      <c r="A58" s="9" t="s">
        <v>120</v>
      </c>
      <c r="B58" s="13">
        <v>21016</v>
      </c>
      <c r="C58" s="10" t="s">
        <v>5</v>
      </c>
      <c r="D58" s="13">
        <v>0</v>
      </c>
      <c r="E58" s="10" t="s">
        <v>6</v>
      </c>
      <c r="F58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N22"/>
  <sheetViews>
    <sheetView topLeftCell="A2" zoomScaleNormal="100" workbookViewId="0">
      <selection activeCell="E10" sqref="E10"/>
    </sheetView>
  </sheetViews>
  <sheetFormatPr defaultColWidth="11" defaultRowHeight="12.75" x14ac:dyDescent="0.2"/>
  <cols>
    <col min="1" max="1" width="28.1640625" style="2" bestFit="1" customWidth="1"/>
    <col min="2" max="2" width="21.33203125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4" ht="21" x14ac:dyDescent="0.35">
      <c r="A1" s="42" t="s">
        <v>85</v>
      </c>
      <c r="B1" s="41" t="s">
        <v>167</v>
      </c>
    </row>
    <row r="2" spans="1:14" ht="18.75" x14ac:dyDescent="0.3">
      <c r="B2" s="40" t="s">
        <v>166</v>
      </c>
    </row>
    <row r="5" spans="1:14" ht="15" x14ac:dyDescent="0.25">
      <c r="B5" s="1" t="s">
        <v>151</v>
      </c>
    </row>
    <row r="6" spans="1:14" ht="15" x14ac:dyDescent="0.25">
      <c r="A6" s="3" t="s">
        <v>53</v>
      </c>
      <c r="B6" s="1" t="s">
        <v>189</v>
      </c>
    </row>
    <row r="7" spans="1:14" ht="15" x14ac:dyDescent="0.25">
      <c r="A7" s="3" t="s">
        <v>153</v>
      </c>
      <c r="B7" s="47" t="s">
        <v>188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</row>
    <row r="8" spans="1:14" x14ac:dyDescent="0.2">
      <c r="B8" s="47" t="s">
        <v>190</v>
      </c>
      <c r="C8" s="47"/>
      <c r="D8" s="47"/>
      <c r="E8" s="47"/>
      <c r="F8" s="47"/>
    </row>
    <row r="10" spans="1:14" ht="23.25" x14ac:dyDescent="0.35">
      <c r="A10" s="18" t="s">
        <v>162</v>
      </c>
    </row>
    <row r="11" spans="1:14" ht="15" x14ac:dyDescent="0.25">
      <c r="A11" s="32" t="s">
        <v>86</v>
      </c>
      <c r="B11" s="17" t="s">
        <v>87</v>
      </c>
      <c r="C11" s="17" t="s">
        <v>88</v>
      </c>
    </row>
    <row r="12" spans="1:14" ht="15" x14ac:dyDescent="0.25">
      <c r="A12" s="32">
        <v>44927</v>
      </c>
      <c r="B12" s="17" t="s">
        <v>59</v>
      </c>
      <c r="C12" s="17">
        <v>200</v>
      </c>
    </row>
    <row r="13" spans="1:14" ht="15" x14ac:dyDescent="0.25">
      <c r="A13" s="32">
        <v>44928</v>
      </c>
      <c r="B13" s="17" t="s">
        <v>60</v>
      </c>
      <c r="C13" s="17" t="e">
        <v>#N/A</v>
      </c>
    </row>
    <row r="14" spans="1:14" ht="15" x14ac:dyDescent="0.25">
      <c r="A14" s="32">
        <v>44929</v>
      </c>
      <c r="B14" s="17" t="s">
        <v>61</v>
      </c>
      <c r="C14" s="17">
        <v>50</v>
      </c>
    </row>
    <row r="15" spans="1:14" ht="15" x14ac:dyDescent="0.25">
      <c r="A15" s="32">
        <v>44930</v>
      </c>
      <c r="B15" s="17" t="s">
        <v>62</v>
      </c>
      <c r="C15" s="17" t="e">
        <v>#N/A</v>
      </c>
    </row>
    <row r="16" spans="1:14" ht="15" x14ac:dyDescent="0.25">
      <c r="A16" s="32">
        <v>44931</v>
      </c>
      <c r="B16" s="17" t="s">
        <v>63</v>
      </c>
      <c r="C16" s="17">
        <v>10</v>
      </c>
    </row>
    <row r="17" spans="1:4" ht="15" x14ac:dyDescent="0.25">
      <c r="A17" s="32">
        <v>44932</v>
      </c>
      <c r="B17" s="17" t="s">
        <v>154</v>
      </c>
      <c r="C17" s="17">
        <v>150</v>
      </c>
    </row>
    <row r="18" spans="1:4" ht="15" x14ac:dyDescent="0.25">
      <c r="A18" s="32">
        <v>44933</v>
      </c>
      <c r="B18" s="17" t="s">
        <v>155</v>
      </c>
      <c r="C18" s="17">
        <v>80</v>
      </c>
    </row>
    <row r="19" spans="1:4" ht="15" x14ac:dyDescent="0.25">
      <c r="A19" s="32">
        <v>44934</v>
      </c>
      <c r="B19" s="17" t="s">
        <v>156</v>
      </c>
      <c r="C19" s="17" t="e">
        <v>#N/A</v>
      </c>
    </row>
    <row r="20" spans="1:4" ht="15" x14ac:dyDescent="0.25">
      <c r="A20" s="32">
        <v>44935</v>
      </c>
      <c r="B20" s="17" t="s">
        <v>157</v>
      </c>
      <c r="C20" s="17">
        <v>30</v>
      </c>
    </row>
    <row r="21" spans="1:4" ht="15" x14ac:dyDescent="0.25">
      <c r="A21" s="32">
        <v>44936</v>
      </c>
      <c r="B21" s="17" t="s">
        <v>158</v>
      </c>
      <c r="C21" s="17" t="e">
        <v>#N/A</v>
      </c>
    </row>
    <row r="22" spans="1:4" ht="15" x14ac:dyDescent="0.25">
      <c r="B22" s="17" t="s">
        <v>159</v>
      </c>
      <c r="C22" s="25">
        <f>SUM(IFERROR(C12:C21, 20))</f>
        <v>20</v>
      </c>
      <c r="D22" s="2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6" sqref="C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193</v>
      </c>
    </row>
    <row r="5" spans="1:14" ht="18.75" x14ac:dyDescent="0.3">
      <c r="A5" s="43" t="s">
        <v>153</v>
      </c>
      <c r="B5" s="1"/>
      <c r="C5" s="2" t="s">
        <v>194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D22" s="2" t="s">
        <v>191</v>
      </c>
      <c r="E22" s="2" t="s">
        <v>192</v>
      </c>
    </row>
    <row r="23" spans="1:14" ht="15" x14ac:dyDescent="0.25">
      <c r="A23" s="7">
        <v>10100</v>
      </c>
      <c r="B23" s="12">
        <v>10102</v>
      </c>
      <c r="C23" s="44">
        <f>VLOOKUP(D23,$A$9:$J$18,3)</f>
        <v>95</v>
      </c>
      <c r="D23" s="2" t="str">
        <f>VLOOKUP(A23,$M$10:$N$18,2,0)</f>
        <v>A</v>
      </c>
      <c r="E23" s="2" t="str">
        <f>VLOOKUP(B23,$M$10:$N$18,2,0)</f>
        <v>B</v>
      </c>
    </row>
    <row r="24" spans="1:14" ht="15" x14ac:dyDescent="0.25">
      <c r="A24" s="7">
        <v>10100</v>
      </c>
      <c r="B24" s="12">
        <v>10104</v>
      </c>
      <c r="C24" s="44">
        <f>VLOOKUP(D24,$A$9:$J$18,4)</f>
        <v>-1</v>
      </c>
      <c r="D24" s="2" t="str">
        <f t="shared" ref="D24:D35" si="0">VLOOKUP(A24,$M$10:$N$18,2,0)</f>
        <v>A</v>
      </c>
      <c r="E24" s="2" t="str">
        <f t="shared" ref="E24:E35" si="1">VLOOKUP(B24,$M$10:$N$18,2,0)</f>
        <v>C</v>
      </c>
    </row>
    <row r="25" spans="1:14" ht="15" x14ac:dyDescent="0.25">
      <c r="A25" s="7">
        <v>10108</v>
      </c>
      <c r="B25" s="12">
        <v>10102</v>
      </c>
      <c r="C25" s="44">
        <f>VLOOKUP(D25,$A$9:$J$18,3)</f>
        <v>160</v>
      </c>
      <c r="D25" s="2" t="str">
        <f t="shared" si="0"/>
        <v>E</v>
      </c>
      <c r="E25" s="2" t="str">
        <f t="shared" si="1"/>
        <v>B</v>
      </c>
    </row>
    <row r="26" spans="1:14" ht="15" x14ac:dyDescent="0.25">
      <c r="A26" s="7">
        <v>10100</v>
      </c>
      <c r="B26" s="12">
        <v>10106</v>
      </c>
      <c r="C26" s="44">
        <f>VLOOKUP(D26,$A$9:$J$18,5)</f>
        <v>185</v>
      </c>
      <c r="D26" s="2" t="str">
        <f t="shared" si="0"/>
        <v>A</v>
      </c>
      <c r="E26" s="2" t="str">
        <f t="shared" si="1"/>
        <v>D</v>
      </c>
    </row>
    <row r="27" spans="1:14" ht="15" x14ac:dyDescent="0.25">
      <c r="A27" s="7">
        <v>10108</v>
      </c>
      <c r="B27" s="12">
        <v>10110</v>
      </c>
      <c r="C27" s="44">
        <f>VLOOKUP(D27,$A$9:$J$18,7)</f>
        <v>50</v>
      </c>
      <c r="D27" s="2" t="str">
        <f t="shared" si="0"/>
        <v>E</v>
      </c>
      <c r="E27" s="2" t="str">
        <f t="shared" si="1"/>
        <v>F</v>
      </c>
    </row>
    <row r="28" spans="1:14" ht="15" x14ac:dyDescent="0.25">
      <c r="A28" s="7">
        <v>10102</v>
      </c>
      <c r="B28" s="12">
        <v>10104</v>
      </c>
      <c r="C28" s="44">
        <f t="shared" ref="C25:C29" si="2">VLOOKUP(D28,$A$9:$J$18,4)</f>
        <v>-1</v>
      </c>
      <c r="D28" s="2" t="str">
        <f t="shared" si="0"/>
        <v>B</v>
      </c>
      <c r="E28" s="2" t="str">
        <f t="shared" si="1"/>
        <v>C</v>
      </c>
    </row>
    <row r="29" spans="1:14" ht="15" x14ac:dyDescent="0.25">
      <c r="A29" s="7">
        <v>10106</v>
      </c>
      <c r="B29" s="12">
        <v>10108</v>
      </c>
      <c r="C29" s="44">
        <f>VLOOKUP(D29,$A$9:$J$18,6)</f>
        <v>70</v>
      </c>
      <c r="D29" s="2" t="str">
        <f t="shared" si="0"/>
        <v>D</v>
      </c>
      <c r="E29" s="2" t="str">
        <f t="shared" si="1"/>
        <v>E</v>
      </c>
    </row>
    <row r="30" spans="1:14" ht="15" x14ac:dyDescent="0.25">
      <c r="A30" s="7">
        <v>10102</v>
      </c>
      <c r="B30" s="12">
        <v>10106</v>
      </c>
      <c r="C30" s="44">
        <f>VLOOKUP(D30,$A$9:$J$18,5)</f>
        <v>90</v>
      </c>
      <c r="D30" s="2" t="str">
        <f t="shared" si="0"/>
        <v>B</v>
      </c>
      <c r="E30" s="2" t="str">
        <f t="shared" si="1"/>
        <v>D</v>
      </c>
    </row>
    <row r="31" spans="1:14" ht="15" x14ac:dyDescent="0.25">
      <c r="A31" s="7">
        <v>10110</v>
      </c>
      <c r="B31" s="12">
        <v>10114</v>
      </c>
      <c r="C31" s="44">
        <f>VLOOKUP(D31,$A$9:$J$18,9)</f>
        <v>180</v>
      </c>
      <c r="D31" s="2" t="str">
        <f t="shared" si="0"/>
        <v>F</v>
      </c>
      <c r="E31" s="2" t="str">
        <f t="shared" si="1"/>
        <v>H</v>
      </c>
    </row>
    <row r="32" spans="1:14" ht="15" x14ac:dyDescent="0.25">
      <c r="A32" s="7">
        <v>10104</v>
      </c>
      <c r="B32" s="12">
        <v>10106</v>
      </c>
      <c r="C32" s="44">
        <f>VLOOKUP(D32,$A$9:$J$18,5)</f>
        <v>60</v>
      </c>
      <c r="D32" s="2" t="str">
        <f t="shared" si="0"/>
        <v>C</v>
      </c>
      <c r="E32" s="2" t="str">
        <f t="shared" si="1"/>
        <v>D</v>
      </c>
    </row>
    <row r="33" spans="1:5" ht="15" x14ac:dyDescent="0.25">
      <c r="A33" s="7">
        <v>10110</v>
      </c>
      <c r="B33" s="12">
        <v>10112</v>
      </c>
      <c r="C33" s="44">
        <f>VLOOKUP(D33,$A$9:$J$18,8)</f>
        <v>115</v>
      </c>
      <c r="D33" s="2" t="str">
        <f t="shared" si="0"/>
        <v>F</v>
      </c>
      <c r="E33" s="2" t="str">
        <f t="shared" si="1"/>
        <v>G</v>
      </c>
    </row>
    <row r="34" spans="1:5" ht="15" x14ac:dyDescent="0.25">
      <c r="A34" s="7">
        <v>10100</v>
      </c>
      <c r="B34" s="12">
        <v>10114</v>
      </c>
      <c r="C34" s="44">
        <f>VLOOKUP(D34,$A$9:$J$18,9)</f>
        <v>480</v>
      </c>
      <c r="D34" s="2" t="str">
        <f t="shared" si="0"/>
        <v>A</v>
      </c>
      <c r="E34" s="2" t="str">
        <f t="shared" si="1"/>
        <v>H</v>
      </c>
    </row>
    <row r="35" spans="1:5" ht="15" x14ac:dyDescent="0.25">
      <c r="A35" s="9">
        <v>10112</v>
      </c>
      <c r="B35" s="13">
        <v>10116</v>
      </c>
      <c r="C35" s="44">
        <f>VLOOKUP(D35,$A$9:$J$18,10)</f>
        <v>105</v>
      </c>
      <c r="D35" s="2" t="str">
        <f t="shared" si="0"/>
        <v>G</v>
      </c>
      <c r="E35" s="2" t="str">
        <f t="shared" si="1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Acer</cp:lastModifiedBy>
  <dcterms:created xsi:type="dcterms:W3CDTF">2015-02-10T17:33:11Z</dcterms:created>
  <dcterms:modified xsi:type="dcterms:W3CDTF">2024-10-24T14:54:52Z</dcterms:modified>
</cp:coreProperties>
</file>